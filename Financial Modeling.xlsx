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drawings/drawing4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OneDrive\Documents\School of Finance\"/>
    </mc:Choice>
  </mc:AlternateContent>
  <xr:revisionPtr revIDLastSave="0" documentId="13_ncr:1_{47BC62CA-1F4B-41BF-B749-64151A6633FA}" xr6:coauthVersionLast="47" xr6:coauthVersionMax="47" xr10:uidLastSave="{00000000-0000-0000-0000-000000000000}"/>
  <bookViews>
    <workbookView xWindow="-120" yWindow="-120" windowWidth="20730" windowHeight="11760" firstSheet="2" activeTab="8" xr2:uid="{28FAB231-E66E-4650-B5BC-B2C5448C1DC7}"/>
  </bookViews>
  <sheets>
    <sheet name="Logo" sheetId="12" r:id="rId1"/>
    <sheet name="Cover Page" sheetId="1" r:id="rId2"/>
    <sheet name="Model Guide" sheetId="2" r:id="rId3"/>
    <sheet name="Input" sheetId="3" r:id="rId4"/>
    <sheet name="Cal" sheetId="4" r:id="rId5"/>
    <sheet name="IS" sheetId="5" r:id="rId6"/>
    <sheet name="CF" sheetId="6" r:id="rId7"/>
    <sheet name="BS" sheetId="7" r:id="rId8"/>
    <sheet name="Scenerio" sheetId="11" r:id="rId9"/>
    <sheet name="Analysis" sheetId="8" r:id="rId10"/>
    <sheet name="Valuation" sheetId="9" r:id="rId11"/>
    <sheet name="Temp" sheetId="10" r:id="rId12"/>
  </sheets>
  <definedNames>
    <definedName name="Business_Location">'Model Guide'!$E$10</definedName>
    <definedName name="Company_Name">'Model Guide'!$E$9</definedName>
    <definedName name="coy_name">'Cover Page'!$E$3</definedName>
    <definedName name="Ctrl_1">'Model Guide'!$E$75</definedName>
    <definedName name="Ctrl_10">'Model Guide'!$E$84</definedName>
    <definedName name="Ctrl_11">'Model Guide'!$E$85</definedName>
    <definedName name="Ctrl_12">'Model Guide'!$E$86</definedName>
    <definedName name="Ctrl_2">'Model Guide'!$E$76</definedName>
    <definedName name="Ctrl_3">'Model Guide'!$E$77</definedName>
    <definedName name="Ctrl_4">'Model Guide'!$E$78</definedName>
    <definedName name="Ctrl_5">'Model Guide'!$E$79</definedName>
    <definedName name="Ctrl_6">'Model Guide'!$E$80</definedName>
    <definedName name="Ctrl_7">'Model Guide'!$E$81</definedName>
    <definedName name="Ctrl_8">'Model Guide'!$E$82</definedName>
    <definedName name="Ctrl_9">'Model Guide'!$E$83</definedName>
    <definedName name="Days_in_a_Year">'Model Guide'!$E$34</definedName>
    <definedName name="Divisor">'Model Guide'!$E$44</definedName>
    <definedName name="Industry">'Model Guide'!$E$11</definedName>
    <definedName name="List">Scenerio!$E$11:$E$13</definedName>
    <definedName name="Model_Forecasting_Period">'Model Guide'!$E$36</definedName>
    <definedName name="Model_Period_End">'Model Guide'!$E$37</definedName>
    <definedName name="Model_Period_Start">'Model Guide'!$E$35</definedName>
    <definedName name="Months_in_a_period">'Model Guide'!$E$33</definedName>
    <definedName name="_xlnm.Print_Titles" localSheetId="9">Analysis!$1:$8</definedName>
    <definedName name="_xlnm.Print_Titles" localSheetId="7">BS!$1:$9</definedName>
    <definedName name="_xlnm.Print_Titles" localSheetId="4">Cal!$1:$8</definedName>
    <definedName name="_xlnm.Print_Titles" localSheetId="6">CF!$1:$8</definedName>
    <definedName name="_xlnm.Print_Titles" localSheetId="3">Input!$1:$8</definedName>
    <definedName name="_xlnm.Print_Titles" localSheetId="5">IS!$1:$8</definedName>
    <definedName name="_xlnm.Print_Titles" localSheetId="2">'Model Guide'!$1:$3</definedName>
    <definedName name="_xlnm.Print_Titles" localSheetId="8">Scenerio!$1:$8</definedName>
    <definedName name="_xlnm.Print_Titles" localSheetId="11">Temp!$1:$8</definedName>
    <definedName name="_xlnm.Print_Titles" localSheetId="10">Valuation!$1:$8</definedName>
    <definedName name="Purpose_of_the_Model">'Model Guide'!$E$12</definedName>
    <definedName name="switch">Scenerio!$F$10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" i="11" l="1"/>
  <c r="N25" i="3" s="1"/>
  <c r="N16" i="4" s="1"/>
  <c r="J22" i="11"/>
  <c r="J25" i="3" s="1"/>
  <c r="J16" i="4" s="1"/>
  <c r="E25" i="11"/>
  <c r="E24" i="11"/>
  <c r="E23" i="11"/>
  <c r="M22" i="11"/>
  <c r="M25" i="3" s="1"/>
  <c r="M16" i="4" s="1"/>
  <c r="L22" i="11"/>
  <c r="L25" i="3" s="1"/>
  <c r="L16" i="4" s="1"/>
  <c r="K22" i="11"/>
  <c r="K25" i="3" s="1"/>
  <c r="K16" i="4" s="1"/>
  <c r="K16" i="11"/>
  <c r="K17" i="3" s="1"/>
  <c r="L16" i="11"/>
  <c r="L17" i="3" s="1"/>
  <c r="M16" i="11"/>
  <c r="M17" i="3" s="1"/>
  <c r="N16" i="11"/>
  <c r="N17" i="3" s="1"/>
  <c r="J16" i="11"/>
  <c r="J17" i="3" s="1"/>
  <c r="E18" i="11"/>
  <c r="E19" i="11"/>
  <c r="E17" i="11"/>
  <c r="C3" i="11"/>
  <c r="B2" i="11"/>
  <c r="K30" i="6"/>
  <c r="L30" i="6"/>
  <c r="M30" i="6"/>
  <c r="N30" i="6"/>
  <c r="J30" i="6"/>
  <c r="K24" i="6"/>
  <c r="K25" i="6" s="1"/>
  <c r="L24" i="6"/>
  <c r="L25" i="6" s="1"/>
  <c r="M24" i="6"/>
  <c r="M25" i="6" s="1"/>
  <c r="N24" i="6"/>
  <c r="N25" i="6" s="1"/>
  <c r="J24" i="6"/>
  <c r="J25" i="6" s="1"/>
  <c r="K27" i="6"/>
  <c r="L27" i="6"/>
  <c r="M27" i="6"/>
  <c r="N27" i="6"/>
  <c r="K28" i="6"/>
  <c r="L28" i="6"/>
  <c r="M28" i="6"/>
  <c r="N28" i="6"/>
  <c r="J28" i="6"/>
  <c r="J27" i="6"/>
  <c r="J33" i="6"/>
  <c r="K32" i="7"/>
  <c r="L32" i="7"/>
  <c r="M32" i="7"/>
  <c r="N32" i="7"/>
  <c r="J32" i="7"/>
  <c r="K24" i="7"/>
  <c r="K25" i="7" s="1"/>
  <c r="L24" i="7"/>
  <c r="L25" i="7" s="1"/>
  <c r="M24" i="7"/>
  <c r="M25" i="7" s="1"/>
  <c r="N24" i="7"/>
  <c r="N25" i="7" s="1"/>
  <c r="J24" i="7"/>
  <c r="J25" i="7" s="1"/>
  <c r="K13" i="7"/>
  <c r="K14" i="7" s="1"/>
  <c r="L13" i="7"/>
  <c r="L14" i="7" s="1"/>
  <c r="M13" i="7"/>
  <c r="M14" i="7" s="1"/>
  <c r="N13" i="7"/>
  <c r="N14" i="7" s="1"/>
  <c r="J13" i="7"/>
  <c r="J14" i="7" s="1"/>
  <c r="K151" i="4"/>
  <c r="L151" i="4"/>
  <c r="M151" i="4"/>
  <c r="N151" i="4"/>
  <c r="J151" i="4"/>
  <c r="K19" i="5"/>
  <c r="L19" i="5"/>
  <c r="M19" i="5"/>
  <c r="N19" i="5"/>
  <c r="J19" i="5"/>
  <c r="K173" i="4"/>
  <c r="L173" i="4"/>
  <c r="M173" i="4"/>
  <c r="N173" i="4"/>
  <c r="J173" i="4"/>
  <c r="J169" i="4"/>
  <c r="J168" i="4"/>
  <c r="K166" i="4"/>
  <c r="L166" i="4"/>
  <c r="M166" i="4"/>
  <c r="N166" i="4"/>
  <c r="J166" i="4"/>
  <c r="J165" i="4"/>
  <c r="K160" i="4"/>
  <c r="L160" i="4"/>
  <c r="M160" i="4"/>
  <c r="N160" i="4"/>
  <c r="K161" i="4"/>
  <c r="L161" i="4"/>
  <c r="M161" i="4"/>
  <c r="N161" i="4"/>
  <c r="J162" i="4"/>
  <c r="J161" i="4"/>
  <c r="J160" i="4"/>
  <c r="J153" i="4"/>
  <c r="J147" i="4"/>
  <c r="J148" i="4"/>
  <c r="K146" i="4" s="1"/>
  <c r="K148" i="4" s="1"/>
  <c r="L146" i="4" s="1"/>
  <c r="L148" i="4" s="1"/>
  <c r="M146" i="4" s="1"/>
  <c r="M148" i="4" s="1"/>
  <c r="N146" i="4" s="1"/>
  <c r="N148" i="4" s="1"/>
  <c r="J146" i="4"/>
  <c r="J144" i="4"/>
  <c r="J143" i="4"/>
  <c r="H137" i="4"/>
  <c r="K137" i="4"/>
  <c r="J137" i="4"/>
  <c r="F137" i="4"/>
  <c r="H130" i="4"/>
  <c r="J130" i="4"/>
  <c r="J136" i="4" s="1"/>
  <c r="J140" i="4" s="1"/>
  <c r="K130" i="4"/>
  <c r="K136" i="4" s="1"/>
  <c r="L130" i="4"/>
  <c r="M130" i="4"/>
  <c r="N130" i="4"/>
  <c r="K132" i="4"/>
  <c r="L132" i="4"/>
  <c r="M132" i="4"/>
  <c r="N132" i="4"/>
  <c r="J132" i="4"/>
  <c r="L136" i="4"/>
  <c r="M136" i="4"/>
  <c r="N136" i="4"/>
  <c r="J135" i="4"/>
  <c r="F132" i="4"/>
  <c r="F131" i="4"/>
  <c r="K112" i="4"/>
  <c r="L112" i="4"/>
  <c r="M112" i="4"/>
  <c r="N112" i="4"/>
  <c r="K113" i="4"/>
  <c r="L113" i="4"/>
  <c r="M113" i="4"/>
  <c r="N113" i="4"/>
  <c r="K108" i="4"/>
  <c r="L108" i="4"/>
  <c r="M108" i="4"/>
  <c r="N108" i="4"/>
  <c r="K109" i="4"/>
  <c r="L109" i="4"/>
  <c r="M109" i="4"/>
  <c r="N109" i="4"/>
  <c r="K110" i="4"/>
  <c r="L110" i="4"/>
  <c r="M110" i="4"/>
  <c r="N110" i="4"/>
  <c r="J112" i="4"/>
  <c r="J113" i="4"/>
  <c r="J109" i="4"/>
  <c r="J110" i="4"/>
  <c r="J108" i="4"/>
  <c r="K95" i="4"/>
  <c r="L95" i="4"/>
  <c r="M95" i="4"/>
  <c r="N95" i="4"/>
  <c r="J95" i="4"/>
  <c r="K76" i="4"/>
  <c r="L76" i="4"/>
  <c r="M76" i="4"/>
  <c r="N76" i="4"/>
  <c r="K77" i="4"/>
  <c r="L77" i="4"/>
  <c r="M77" i="4"/>
  <c r="N77" i="4"/>
  <c r="K78" i="4"/>
  <c r="L78" i="4"/>
  <c r="M78" i="4"/>
  <c r="N78" i="4"/>
  <c r="K79" i="4"/>
  <c r="L79" i="4"/>
  <c r="M79" i="4"/>
  <c r="N79" i="4"/>
  <c r="K80" i="4"/>
  <c r="L80" i="4"/>
  <c r="M80" i="4"/>
  <c r="N80" i="4"/>
  <c r="K81" i="4"/>
  <c r="L81" i="4"/>
  <c r="M81" i="4"/>
  <c r="N81" i="4"/>
  <c r="K82" i="4"/>
  <c r="L82" i="4"/>
  <c r="M82" i="4"/>
  <c r="N82" i="4"/>
  <c r="J82" i="4"/>
  <c r="J81" i="4"/>
  <c r="J80" i="4"/>
  <c r="J79" i="4"/>
  <c r="J78" i="4"/>
  <c r="J77" i="4"/>
  <c r="J76" i="4"/>
  <c r="J65" i="4"/>
  <c r="L65" i="4"/>
  <c r="M65" i="4"/>
  <c r="N65" i="4"/>
  <c r="K65" i="4"/>
  <c r="K58" i="4"/>
  <c r="L58" i="4"/>
  <c r="M58" i="4"/>
  <c r="N58" i="4"/>
  <c r="J58" i="4"/>
  <c r="J62" i="4"/>
  <c r="K62" i="4"/>
  <c r="L62" i="4"/>
  <c r="M62" i="4"/>
  <c r="N62" i="4"/>
  <c r="J63" i="4"/>
  <c r="K63" i="4"/>
  <c r="L63" i="4"/>
  <c r="M63" i="4"/>
  <c r="N63" i="4"/>
  <c r="J64" i="4"/>
  <c r="K64" i="4"/>
  <c r="L64" i="4"/>
  <c r="M64" i="4"/>
  <c r="N64" i="4"/>
  <c r="K61" i="4"/>
  <c r="L61" i="4"/>
  <c r="M61" i="4"/>
  <c r="N61" i="4"/>
  <c r="J61" i="4"/>
  <c r="J54" i="4"/>
  <c r="J55" i="4"/>
  <c r="K55" i="4"/>
  <c r="L55" i="4"/>
  <c r="M55" i="4"/>
  <c r="N55" i="4"/>
  <c r="J56" i="4"/>
  <c r="K56" i="4"/>
  <c r="L56" i="4"/>
  <c r="M56" i="4"/>
  <c r="N56" i="4"/>
  <c r="J57" i="4"/>
  <c r="K57" i="4"/>
  <c r="L57" i="4"/>
  <c r="M57" i="4"/>
  <c r="N57" i="4"/>
  <c r="K54" i="4"/>
  <c r="L54" i="4"/>
  <c r="M54" i="4"/>
  <c r="N54" i="4"/>
  <c r="K49" i="4"/>
  <c r="L49" i="4"/>
  <c r="M49" i="4"/>
  <c r="N49" i="4"/>
  <c r="J49" i="4"/>
  <c r="F31" i="4"/>
  <c r="F30" i="4"/>
  <c r="F29" i="4"/>
  <c r="I26" i="4"/>
  <c r="I25" i="4"/>
  <c r="I24" i="4"/>
  <c r="I20" i="4"/>
  <c r="I21" i="4"/>
  <c r="I19" i="4"/>
  <c r="K15" i="4"/>
  <c r="L15" i="4"/>
  <c r="M15" i="4"/>
  <c r="N15" i="4"/>
  <c r="J15" i="4"/>
  <c r="I29" i="4" s="1"/>
  <c r="K60" i="3"/>
  <c r="L60" i="3"/>
  <c r="M60" i="3"/>
  <c r="N60" i="3"/>
  <c r="J59" i="3"/>
  <c r="J60" i="3" s="1"/>
  <c r="J39" i="3"/>
  <c r="J14" i="3"/>
  <c r="K14" i="3" s="1"/>
  <c r="L14" i="3" s="1"/>
  <c r="M14" i="3" s="1"/>
  <c r="N14" i="3" s="1"/>
  <c r="B2" i="10"/>
  <c r="C3" i="8"/>
  <c r="C3" i="9"/>
  <c r="C3" i="7"/>
  <c r="C3" i="6"/>
  <c r="C3" i="5"/>
  <c r="C3" i="4"/>
  <c r="C3" i="3"/>
  <c r="B2" i="9"/>
  <c r="B2" i="8"/>
  <c r="B2" i="7"/>
  <c r="B2" i="6"/>
  <c r="B2" i="5"/>
  <c r="B2" i="4"/>
  <c r="B2" i="3"/>
  <c r="E4" i="1"/>
  <c r="E5" i="1"/>
  <c r="E37" i="2"/>
  <c r="N6" i="9" s="1"/>
  <c r="N6" i="11" l="1"/>
  <c r="N18" i="3"/>
  <c r="N14" i="4" s="1"/>
  <c r="K162" i="4"/>
  <c r="K165" i="4" s="1"/>
  <c r="N162" i="4"/>
  <c r="N165" i="4" s="1"/>
  <c r="M162" i="4"/>
  <c r="M165" i="4" s="1"/>
  <c r="L162" i="4"/>
  <c r="L165" i="4" s="1"/>
  <c r="J138" i="4"/>
  <c r="K135" i="4" s="1"/>
  <c r="M18" i="3"/>
  <c r="M14" i="4" s="1"/>
  <c r="N22" i="3"/>
  <c r="N13" i="4" s="1"/>
  <c r="L22" i="3"/>
  <c r="L13" i="4" s="1"/>
  <c r="J18" i="3"/>
  <c r="J14" i="4" s="1"/>
  <c r="K18" i="3"/>
  <c r="K14" i="4" s="1"/>
  <c r="J22" i="3"/>
  <c r="J13" i="4" s="1"/>
  <c r="J21" i="4" s="1"/>
  <c r="K21" i="4" s="1"/>
  <c r="L21" i="4" s="1"/>
  <c r="M21" i="4" s="1"/>
  <c r="N21" i="4" s="1"/>
  <c r="K22" i="3"/>
  <c r="K13" i="4" s="1"/>
  <c r="L18" i="3"/>
  <c r="L14" i="4" s="1"/>
  <c r="M22" i="3"/>
  <c r="M13" i="4" s="1"/>
  <c r="I30" i="4"/>
  <c r="J30" i="4" s="1"/>
  <c r="K30" i="4" s="1"/>
  <c r="J29" i="4"/>
  <c r="I31" i="4"/>
  <c r="J41" i="4"/>
  <c r="N7" i="9"/>
  <c r="M6" i="9"/>
  <c r="L6" i="9" s="1"/>
  <c r="K6" i="9" s="1"/>
  <c r="N6" i="3"/>
  <c r="M6" i="3" s="1"/>
  <c r="L6" i="3" s="1"/>
  <c r="N6" i="6"/>
  <c r="N6" i="8"/>
  <c r="N7" i="8" s="1"/>
  <c r="N6" i="5"/>
  <c r="N7" i="5" s="1"/>
  <c r="N6" i="7"/>
  <c r="N7" i="7" s="1"/>
  <c r="N6" i="10"/>
  <c r="N6" i="4"/>
  <c r="M6" i="8"/>
  <c r="N7" i="11" l="1"/>
  <c r="M6" i="11"/>
  <c r="N50" i="4"/>
  <c r="N90" i="4" s="1"/>
  <c r="N7" i="4"/>
  <c r="N175" i="4" s="1"/>
  <c r="K138" i="4"/>
  <c r="L135" i="4" s="1"/>
  <c r="K140" i="4"/>
  <c r="J20" i="4"/>
  <c r="K20" i="4" s="1"/>
  <c r="L20" i="4" s="1"/>
  <c r="M20" i="4" s="1"/>
  <c r="N20" i="4" s="1"/>
  <c r="J42" i="4"/>
  <c r="L50" i="4"/>
  <c r="M50" i="4"/>
  <c r="N86" i="4"/>
  <c r="N91" i="4"/>
  <c r="J19" i="4"/>
  <c r="J50" i="4"/>
  <c r="N89" i="4"/>
  <c r="N87" i="4"/>
  <c r="K50" i="4"/>
  <c r="N71" i="4"/>
  <c r="N85" i="4"/>
  <c r="M6" i="4"/>
  <c r="L7" i="9"/>
  <c r="N5" i="9"/>
  <c r="M7" i="9"/>
  <c r="M6" i="5"/>
  <c r="L6" i="5" s="1"/>
  <c r="M5" i="5" s="1"/>
  <c r="M5" i="9"/>
  <c r="L30" i="4"/>
  <c r="K29" i="4"/>
  <c r="J43" i="4"/>
  <c r="J44" i="4" s="1"/>
  <c r="J37" i="4"/>
  <c r="J31" i="4"/>
  <c r="M7" i="3"/>
  <c r="N5" i="3"/>
  <c r="N7" i="10"/>
  <c r="M6" i="10"/>
  <c r="N7" i="3"/>
  <c r="M6" i="7"/>
  <c r="M7" i="7" s="1"/>
  <c r="N7" i="6"/>
  <c r="M6" i="6"/>
  <c r="J6" i="9"/>
  <c r="L5" i="9"/>
  <c r="K7" i="9"/>
  <c r="L6" i="8"/>
  <c r="M7" i="8"/>
  <c r="N5" i="4"/>
  <c r="N5" i="8"/>
  <c r="M5" i="3"/>
  <c r="K6" i="3"/>
  <c r="L7" i="3"/>
  <c r="N88" i="4" l="1"/>
  <c r="N68" i="4"/>
  <c r="N70" i="4"/>
  <c r="N72" i="4"/>
  <c r="N69" i="4"/>
  <c r="L6" i="11"/>
  <c r="M7" i="11"/>
  <c r="N5" i="11"/>
  <c r="J104" i="4"/>
  <c r="J11" i="5"/>
  <c r="J36" i="4"/>
  <c r="L36" i="4"/>
  <c r="K36" i="4"/>
  <c r="L6" i="4"/>
  <c r="M102" i="4" s="1"/>
  <c r="N102" i="4"/>
  <c r="N5" i="5"/>
  <c r="M7" i="4"/>
  <c r="M175" i="4" s="1"/>
  <c r="L138" i="4"/>
  <c r="M135" i="4" s="1"/>
  <c r="L140" i="4"/>
  <c r="L137" i="4" s="1"/>
  <c r="N92" i="4"/>
  <c r="N97" i="4" s="1"/>
  <c r="K19" i="4"/>
  <c r="J35" i="4"/>
  <c r="J38" i="4" s="1"/>
  <c r="M85" i="4"/>
  <c r="M86" i="4"/>
  <c r="M87" i="4"/>
  <c r="M88" i="4"/>
  <c r="M89" i="4"/>
  <c r="M90" i="4"/>
  <c r="M91" i="4"/>
  <c r="M69" i="4"/>
  <c r="M72" i="4"/>
  <c r="M68" i="4"/>
  <c r="M71" i="4"/>
  <c r="M70" i="4"/>
  <c r="J26" i="4"/>
  <c r="K26" i="4" s="1"/>
  <c r="L26" i="4" s="1"/>
  <c r="M26" i="4" s="1"/>
  <c r="N26" i="4" s="1"/>
  <c r="J24" i="4"/>
  <c r="J25" i="4"/>
  <c r="L91" i="4"/>
  <c r="L87" i="4"/>
  <c r="L69" i="4"/>
  <c r="L68" i="4"/>
  <c r="L90" i="4"/>
  <c r="L86" i="4"/>
  <c r="L72" i="4"/>
  <c r="L70" i="4"/>
  <c r="L71" i="4"/>
  <c r="L89" i="4"/>
  <c r="L85" i="4"/>
  <c r="L88" i="4"/>
  <c r="K70" i="4"/>
  <c r="K71" i="4"/>
  <c r="K91" i="4"/>
  <c r="K87" i="4"/>
  <c r="K72" i="4"/>
  <c r="K90" i="4"/>
  <c r="K86" i="4"/>
  <c r="K88" i="4"/>
  <c r="K69" i="4"/>
  <c r="K89" i="4"/>
  <c r="K85" i="4"/>
  <c r="K68" i="4"/>
  <c r="J89" i="4"/>
  <c r="J85" i="4"/>
  <c r="J71" i="4"/>
  <c r="J69" i="4"/>
  <c r="J70" i="4"/>
  <c r="J72" i="4"/>
  <c r="J90" i="4"/>
  <c r="J88" i="4"/>
  <c r="J86" i="4"/>
  <c r="J68" i="4"/>
  <c r="J87" i="4"/>
  <c r="J91" i="4"/>
  <c r="L6" i="7"/>
  <c r="K6" i="7" s="1"/>
  <c r="K43" i="4"/>
  <c r="K37" i="4"/>
  <c r="K31" i="4"/>
  <c r="M30" i="4"/>
  <c r="M36" i="4"/>
  <c r="M7" i="5"/>
  <c r="L7" i="5"/>
  <c r="L29" i="4"/>
  <c r="K6" i="5"/>
  <c r="N5" i="7"/>
  <c r="L6" i="6"/>
  <c r="N5" i="6"/>
  <c r="M7" i="6"/>
  <c r="L6" i="10"/>
  <c r="N5" i="10"/>
  <c r="M7" i="10"/>
  <c r="K6" i="8"/>
  <c r="M5" i="8"/>
  <c r="L7" i="8"/>
  <c r="I6" i="9"/>
  <c r="K5" i="9"/>
  <c r="J7" i="9"/>
  <c r="L5" i="3"/>
  <c r="J6" i="3"/>
  <c r="K7" i="3"/>
  <c r="N73" i="4" l="1"/>
  <c r="N96" i="4" s="1"/>
  <c r="M5" i="11"/>
  <c r="L7" i="11"/>
  <c r="K6" i="11"/>
  <c r="N98" i="4"/>
  <c r="N105" i="4" s="1"/>
  <c r="L7" i="7"/>
  <c r="J103" i="4"/>
  <c r="J10" i="5"/>
  <c r="J12" i="5" s="1"/>
  <c r="M5" i="7"/>
  <c r="M5" i="4"/>
  <c r="L7" i="4"/>
  <c r="L175" i="4" s="1"/>
  <c r="K6" i="4"/>
  <c r="M138" i="4"/>
  <c r="N135" i="4" s="1"/>
  <c r="M140" i="4"/>
  <c r="M137" i="4" s="1"/>
  <c r="M92" i="4"/>
  <c r="M97" i="4" s="1"/>
  <c r="K73" i="4"/>
  <c r="K96" i="4" s="1"/>
  <c r="L73" i="4"/>
  <c r="L96" i="4" s="1"/>
  <c r="K25" i="4"/>
  <c r="K42" i="4"/>
  <c r="K92" i="4"/>
  <c r="K97" i="4" s="1"/>
  <c r="L92" i="4"/>
  <c r="L97" i="4" s="1"/>
  <c r="K24" i="4"/>
  <c r="K41" i="4"/>
  <c r="K44" i="4" s="1"/>
  <c r="L19" i="4"/>
  <c r="K35" i="4"/>
  <c r="K38" i="4" s="1"/>
  <c r="J73" i="4"/>
  <c r="J96" i="4" s="1"/>
  <c r="J92" i="4"/>
  <c r="J97" i="4" s="1"/>
  <c r="M73" i="4"/>
  <c r="M96" i="4" s="1"/>
  <c r="M29" i="4"/>
  <c r="L37" i="4"/>
  <c r="L31" i="4"/>
  <c r="L43" i="4"/>
  <c r="K7" i="5"/>
  <c r="L5" i="5"/>
  <c r="J6" i="5"/>
  <c r="N30" i="4"/>
  <c r="N36" i="4"/>
  <c r="L7" i="10"/>
  <c r="K6" i="10"/>
  <c r="M5" i="10"/>
  <c r="M5" i="6"/>
  <c r="L7" i="6"/>
  <c r="K6" i="6"/>
  <c r="J6" i="8"/>
  <c r="K7" i="8"/>
  <c r="L5" i="8"/>
  <c r="I7" i="9"/>
  <c r="J5" i="9"/>
  <c r="K7" i="7"/>
  <c r="J6" i="7"/>
  <c r="L5" i="7"/>
  <c r="K5" i="3"/>
  <c r="I6" i="3"/>
  <c r="J7" i="3"/>
  <c r="L5" i="11" l="1"/>
  <c r="K7" i="11"/>
  <c r="J6" i="11"/>
  <c r="M98" i="4"/>
  <c r="M105" i="4" s="1"/>
  <c r="M123" i="4" s="1"/>
  <c r="M28" i="7" s="1"/>
  <c r="N123" i="4"/>
  <c r="N28" i="7" s="1"/>
  <c r="N119" i="4"/>
  <c r="N18" i="7" s="1"/>
  <c r="N14" i="5"/>
  <c r="K104" i="4"/>
  <c r="K11" i="5"/>
  <c r="J13" i="5"/>
  <c r="K103" i="4"/>
  <c r="K10" i="5"/>
  <c r="L98" i="4"/>
  <c r="K98" i="4"/>
  <c r="J6" i="4"/>
  <c r="K102" i="4" s="1"/>
  <c r="K7" i="4"/>
  <c r="K175" i="4" s="1"/>
  <c r="L5" i="4"/>
  <c r="J98" i="4"/>
  <c r="L102" i="4"/>
  <c r="N140" i="4"/>
  <c r="N137" i="4" s="1"/>
  <c r="N138" i="4" s="1"/>
  <c r="L25" i="4"/>
  <c r="L42" i="4"/>
  <c r="M19" i="4"/>
  <c r="L35" i="4"/>
  <c r="L38" i="4" s="1"/>
  <c r="L24" i="4"/>
  <c r="L41" i="4"/>
  <c r="L44" i="4" s="1"/>
  <c r="N29" i="4"/>
  <c r="I6" i="5"/>
  <c r="K5" i="5"/>
  <c r="J7" i="5"/>
  <c r="M37" i="4"/>
  <c r="M31" i="4"/>
  <c r="M43" i="4"/>
  <c r="J6" i="6"/>
  <c r="K7" i="6"/>
  <c r="L5" i="6"/>
  <c r="J6" i="10"/>
  <c r="K7" i="10"/>
  <c r="L5" i="10"/>
  <c r="K5" i="8"/>
  <c r="J7" i="8"/>
  <c r="I6" i="8"/>
  <c r="I9" i="9"/>
  <c r="N9" i="9"/>
  <c r="M9" i="9"/>
  <c r="L9" i="9"/>
  <c r="K9" i="9"/>
  <c r="J9" i="9"/>
  <c r="K5" i="7"/>
  <c r="I6" i="7"/>
  <c r="J7" i="7"/>
  <c r="I7" i="3"/>
  <c r="J5" i="3"/>
  <c r="J7" i="11" l="1"/>
  <c r="K5" i="11"/>
  <c r="I6" i="11"/>
  <c r="M14" i="5"/>
  <c r="M119" i="4"/>
  <c r="M18" i="7" s="1"/>
  <c r="N17" i="6" s="1"/>
  <c r="J105" i="4"/>
  <c r="J14" i="5"/>
  <c r="J15" i="5" s="1"/>
  <c r="N19" i="6"/>
  <c r="L105" i="4"/>
  <c r="L119" i="4" s="1"/>
  <c r="L18" i="7" s="1"/>
  <c r="M17" i="6" s="1"/>
  <c r="L14" i="5"/>
  <c r="K105" i="4"/>
  <c r="K119" i="4" s="1"/>
  <c r="K18" i="7" s="1"/>
  <c r="K14" i="5"/>
  <c r="K12" i="5"/>
  <c r="K13" i="5" s="1"/>
  <c r="L104" i="4"/>
  <c r="L122" i="4" s="1"/>
  <c r="L27" i="7" s="1"/>
  <c r="L11" i="5"/>
  <c r="J16" i="5"/>
  <c r="L103" i="4"/>
  <c r="L118" i="4" s="1"/>
  <c r="L17" i="7" s="1"/>
  <c r="L10" i="5"/>
  <c r="K118" i="4"/>
  <c r="K17" i="7" s="1"/>
  <c r="K122" i="4"/>
  <c r="K27" i="7" s="1"/>
  <c r="K117" i="4"/>
  <c r="K16" i="7" s="1"/>
  <c r="J7" i="4"/>
  <c r="J175" i="4" s="1"/>
  <c r="H177" i="4" s="1" a="1"/>
  <c r="I6" i="4"/>
  <c r="J102" i="4" s="1"/>
  <c r="K5" i="4"/>
  <c r="M24" i="4"/>
  <c r="M41" i="4"/>
  <c r="M25" i="4"/>
  <c r="M42" i="4"/>
  <c r="N19" i="4"/>
  <c r="N35" i="4" s="1"/>
  <c r="M35" i="4"/>
  <c r="M38" i="4" s="1"/>
  <c r="N43" i="4"/>
  <c r="N37" i="4"/>
  <c r="N31" i="4"/>
  <c r="J5" i="5"/>
  <c r="I7" i="5"/>
  <c r="J7" i="10"/>
  <c r="I6" i="10"/>
  <c r="K5" i="10"/>
  <c r="I6" i="6"/>
  <c r="K5" i="6"/>
  <c r="J7" i="6"/>
  <c r="J5" i="8"/>
  <c r="I7" i="8"/>
  <c r="I7" i="7"/>
  <c r="J5" i="7"/>
  <c r="I9" i="3"/>
  <c r="N9" i="3"/>
  <c r="M9" i="3"/>
  <c r="L9" i="3"/>
  <c r="K9" i="3"/>
  <c r="J9" i="3"/>
  <c r="I7" i="11" l="1"/>
  <c r="J5" i="11"/>
  <c r="J9" i="11"/>
  <c r="L123" i="4"/>
  <c r="L28" i="7" s="1"/>
  <c r="M19" i="6" s="1"/>
  <c r="L17" i="6"/>
  <c r="K123" i="4"/>
  <c r="K28" i="7" s="1"/>
  <c r="K29" i="7" s="1"/>
  <c r="K30" i="7" s="1"/>
  <c r="L18" i="6"/>
  <c r="L16" i="6"/>
  <c r="K15" i="5"/>
  <c r="K16" i="5" s="1"/>
  <c r="L117" i="4"/>
  <c r="L16" i="7" s="1"/>
  <c r="L15" i="6" s="1"/>
  <c r="L12" i="5"/>
  <c r="L13" i="5" s="1"/>
  <c r="M103" i="4"/>
  <c r="M118" i="4" s="1"/>
  <c r="M17" i="7" s="1"/>
  <c r="M10" i="5"/>
  <c r="J119" i="4"/>
  <c r="J18" i="7" s="1"/>
  <c r="J123" i="4"/>
  <c r="J28" i="7" s="1"/>
  <c r="J19" i="6" s="1"/>
  <c r="J118" i="4"/>
  <c r="J17" i="7" s="1"/>
  <c r="J122" i="4"/>
  <c r="J117" i="4"/>
  <c r="J16" i="7" s="1"/>
  <c r="H177" i="4"/>
  <c r="H180" i="4"/>
  <c r="H179" i="4"/>
  <c r="H178" i="4"/>
  <c r="H181" i="4"/>
  <c r="N38" i="4"/>
  <c r="M44" i="4"/>
  <c r="J5" i="4"/>
  <c r="I7" i="4"/>
  <c r="K120" i="4"/>
  <c r="N25" i="4"/>
  <c r="N42" i="4"/>
  <c r="N24" i="4"/>
  <c r="N41" i="4"/>
  <c r="N9" i="5"/>
  <c r="L9" i="5"/>
  <c r="K9" i="5"/>
  <c r="M9" i="5"/>
  <c r="J9" i="5"/>
  <c r="I9" i="5"/>
  <c r="J5" i="10"/>
  <c r="I7" i="10"/>
  <c r="J5" i="6"/>
  <c r="I7" i="6"/>
  <c r="L9" i="8"/>
  <c r="I9" i="8"/>
  <c r="K9" i="8"/>
  <c r="J9" i="8"/>
  <c r="N9" i="8"/>
  <c r="M9" i="8"/>
  <c r="L10" i="7"/>
  <c r="M10" i="7"/>
  <c r="N10" i="7"/>
  <c r="I10" i="7"/>
  <c r="K10" i="7"/>
  <c r="J10" i="7"/>
  <c r="L124" i="4" l="1"/>
  <c r="L29" i="7"/>
  <c r="L30" i="7" s="1"/>
  <c r="N9" i="11"/>
  <c r="L9" i="11"/>
  <c r="I9" i="11"/>
  <c r="M9" i="11"/>
  <c r="K9" i="11"/>
  <c r="K124" i="4"/>
  <c r="K125" i="4" s="1"/>
  <c r="L19" i="6"/>
  <c r="L120" i="4"/>
  <c r="L125" i="4" s="1"/>
  <c r="K15" i="6"/>
  <c r="J15" i="6"/>
  <c r="J17" i="6"/>
  <c r="K17" i="6"/>
  <c r="J124" i="4"/>
  <c r="J27" i="7"/>
  <c r="K16" i="6"/>
  <c r="J16" i="6"/>
  <c r="M16" i="6"/>
  <c r="K19" i="6"/>
  <c r="L15" i="5"/>
  <c r="L16" i="5" s="1"/>
  <c r="M104" i="4"/>
  <c r="M122" i="4" s="1"/>
  <c r="M11" i="5"/>
  <c r="M12" i="5" s="1"/>
  <c r="N103" i="4"/>
  <c r="N118" i="4" s="1"/>
  <c r="N17" i="7" s="1"/>
  <c r="N16" i="6" s="1"/>
  <c r="N10" i="5"/>
  <c r="J9" i="4"/>
  <c r="I9" i="4"/>
  <c r="N9" i="4"/>
  <c r="M9" i="4"/>
  <c r="K9" i="4"/>
  <c r="L9" i="4"/>
  <c r="J120" i="4"/>
  <c r="N44" i="4"/>
  <c r="I9" i="10"/>
  <c r="N9" i="10"/>
  <c r="M9" i="10"/>
  <c r="L9" i="10"/>
  <c r="K9" i="10"/>
  <c r="J9" i="10"/>
  <c r="K9" i="6"/>
  <c r="N9" i="6"/>
  <c r="I9" i="6"/>
  <c r="M9" i="6"/>
  <c r="L9" i="6"/>
  <c r="J9" i="6"/>
  <c r="J125" i="4" l="1"/>
  <c r="M124" i="4"/>
  <c r="M27" i="7"/>
  <c r="J29" i="7"/>
  <c r="J30" i="7" s="1"/>
  <c r="J18" i="6"/>
  <c r="K18" i="6"/>
  <c r="M117" i="4"/>
  <c r="M15" i="5"/>
  <c r="M16" i="5" s="1"/>
  <c r="M13" i="5"/>
  <c r="N104" i="4"/>
  <c r="N122" i="4" s="1"/>
  <c r="N11" i="5"/>
  <c r="N12" i="5" s="1"/>
  <c r="N13" i="5" s="1"/>
  <c r="M120" i="4" l="1"/>
  <c r="M125" i="4" s="1"/>
  <c r="M16" i="7"/>
  <c r="N124" i="4"/>
  <c r="N27" i="7"/>
  <c r="M18" i="6"/>
  <c r="M29" i="7"/>
  <c r="M30" i="7" s="1"/>
  <c r="N15" i="5"/>
  <c r="N16" i="5" s="1"/>
  <c r="N117" i="4"/>
  <c r="I177" i="4" a="1"/>
  <c r="I177" i="4"/>
  <c r="N177" i="4"/>
  <c r="J177" i="4"/>
  <c r="J182" i="4"/>
  <c r="J170" i="4"/>
  <c r="K169" i="4"/>
  <c r="I178" i="4"/>
  <c r="N178" i="4"/>
  <c r="K177" i="4"/>
  <c r="K178" i="4"/>
  <c r="K182" i="4"/>
  <c r="K170" i="4"/>
  <c r="L169" i="4"/>
  <c r="I179" i="4"/>
  <c r="N179" i="4"/>
  <c r="L177" i="4"/>
  <c r="L178" i="4"/>
  <c r="L179" i="4"/>
  <c r="L182" i="4"/>
  <c r="L170" i="4"/>
  <c r="M169" i="4"/>
  <c r="I180" i="4"/>
  <c r="N180" i="4"/>
  <c r="M177" i="4"/>
  <c r="M178" i="4"/>
  <c r="M179" i="4"/>
  <c r="M180" i="4"/>
  <c r="M182" i="4"/>
  <c r="M170" i="4"/>
  <c r="N169" i="4"/>
  <c r="I181" i="4"/>
  <c r="N181" i="4"/>
  <c r="N182" i="4"/>
  <c r="N170" i="4"/>
  <c r="N17" i="5"/>
  <c r="N13" i="6" s="1"/>
  <c r="J171" i="4"/>
  <c r="K168" i="4"/>
  <c r="K171" i="4"/>
  <c r="L168" i="4"/>
  <c r="L171" i="4"/>
  <c r="M168" i="4"/>
  <c r="M171" i="4"/>
  <c r="N168" i="4"/>
  <c r="J17" i="5"/>
  <c r="J13" i="6" s="1"/>
  <c r="M17" i="5"/>
  <c r="M13" i="6" s="1"/>
  <c r="L17" i="5"/>
  <c r="L13" i="6" s="1"/>
  <c r="L18" i="5"/>
  <c r="L20" i="5" s="1"/>
  <c r="L11" i="6" s="1"/>
  <c r="K17" i="5"/>
  <c r="K13" i="6" s="1"/>
  <c r="N171" i="4"/>
  <c r="K18" i="5" l="1"/>
  <c r="K20" i="5" s="1"/>
  <c r="K11" i="6" s="1"/>
  <c r="J18" i="5"/>
  <c r="J20" i="5" s="1"/>
  <c r="J11" i="6" s="1"/>
  <c r="N120" i="4"/>
  <c r="N125" i="4" s="1"/>
  <c r="N16" i="7"/>
  <c r="N18" i="6"/>
  <c r="N29" i="7"/>
  <c r="N30" i="7" s="1"/>
  <c r="M15" i="6"/>
  <c r="M18" i="5"/>
  <c r="M20" i="5" s="1"/>
  <c r="N18" i="5"/>
  <c r="N20" i="5" s="1"/>
  <c r="N11" i="6" s="1"/>
  <c r="K21" i="5"/>
  <c r="L21" i="5"/>
  <c r="J21" i="5" l="1"/>
  <c r="J21" i="6" s="1"/>
  <c r="J22" i="6" s="1"/>
  <c r="N21" i="5"/>
  <c r="N22" i="5" s="1"/>
  <c r="N23" i="5" s="1"/>
  <c r="M21" i="5"/>
  <c r="M21" i="6" s="1"/>
  <c r="M11" i="6"/>
  <c r="K22" i="5"/>
  <c r="K154" i="4" s="1"/>
  <c r="K21" i="6"/>
  <c r="K22" i="6" s="1"/>
  <c r="L22" i="5"/>
  <c r="L154" i="4" s="1"/>
  <c r="L21" i="6"/>
  <c r="L22" i="6" s="1"/>
  <c r="N15" i="6"/>
  <c r="J22" i="5" l="1"/>
  <c r="M22" i="6"/>
  <c r="N21" i="6"/>
  <c r="N22" i="6" s="1"/>
  <c r="K23" i="5"/>
  <c r="M22" i="5"/>
  <c r="M23" i="5" s="1"/>
  <c r="L23" i="5"/>
  <c r="N154" i="4"/>
  <c r="N155" i="4" s="1"/>
  <c r="N29" i="6" s="1"/>
  <c r="N31" i="6" s="1"/>
  <c r="K155" i="4"/>
  <c r="K29" i="6" s="1"/>
  <c r="K31" i="6" s="1"/>
  <c r="K34" i="6" s="1"/>
  <c r="L155" i="4"/>
  <c r="L29" i="6" s="1"/>
  <c r="L31" i="6" s="1"/>
  <c r="L34" i="6" s="1"/>
  <c r="J23" i="5" l="1"/>
  <c r="J154" i="4"/>
  <c r="J155" i="4" s="1"/>
  <c r="J29" i="6" s="1"/>
  <c r="J31" i="6" s="1"/>
  <c r="J34" i="6" s="1"/>
  <c r="J35" i="6" s="1"/>
  <c r="K33" i="6" s="1"/>
  <c r="K35" i="6" s="1"/>
  <c r="N34" i="6"/>
  <c r="M154" i="4"/>
  <c r="M155" i="4" s="1"/>
  <c r="M29" i="6" s="1"/>
  <c r="M31" i="6" s="1"/>
  <c r="M34" i="6" s="1"/>
  <c r="J19" i="7" l="1"/>
  <c r="J20" i="7" s="1"/>
  <c r="J21" i="7" s="1"/>
  <c r="J156" i="4"/>
  <c r="J33" i="7" s="1"/>
  <c r="J34" i="7" s="1"/>
  <c r="J35" i="7" s="1"/>
  <c r="J39" i="7" s="1"/>
  <c r="K153" i="4"/>
  <c r="K156" i="4" s="1"/>
  <c r="L153" i="4" s="1"/>
  <c r="L156" i="4" s="1"/>
  <c r="L33" i="6"/>
  <c r="L35" i="6" s="1"/>
  <c r="K19" i="7"/>
  <c r="K20" i="7" s="1"/>
  <c r="K21" i="7" s="1"/>
  <c r="J40" i="7" l="1"/>
  <c r="J8" i="7"/>
  <c r="K33" i="7"/>
  <c r="K34" i="7" s="1"/>
  <c r="K35" i="7" s="1"/>
  <c r="K40" i="7" s="1"/>
  <c r="M33" i="6"/>
  <c r="M35" i="6" s="1"/>
  <c r="L19" i="7"/>
  <c r="L20" i="7" s="1"/>
  <c r="L21" i="7" s="1"/>
  <c r="M153" i="4"/>
  <c r="M156" i="4" s="1"/>
  <c r="L33" i="7"/>
  <c r="L34" i="7" s="1"/>
  <c r="L35" i="7" s="1"/>
  <c r="K8" i="7" l="1"/>
  <c r="K39" i="7"/>
  <c r="L8" i="7"/>
  <c r="L39" i="7"/>
  <c r="N33" i="6"/>
  <c r="N35" i="6" s="1"/>
  <c r="N19" i="7" s="1"/>
  <c r="N20" i="7" s="1"/>
  <c r="N21" i="7" s="1"/>
  <c r="M19" i="7"/>
  <c r="M20" i="7" s="1"/>
  <c r="M21" i="7" s="1"/>
  <c r="N153" i="4"/>
  <c r="N156" i="4" s="1"/>
  <c r="N33" i="7" s="1"/>
  <c r="N34" i="7" s="1"/>
  <c r="N35" i="7" s="1"/>
  <c r="M33" i="7"/>
  <c r="M34" i="7" s="1"/>
  <c r="M35" i="7" s="1"/>
  <c r="L40" i="7"/>
  <c r="N8" i="7" l="1"/>
  <c r="M40" i="7"/>
  <c r="M8" i="7"/>
  <c r="M39" i="7"/>
  <c r="N39" i="7"/>
  <c r="N40" i="7"/>
</calcChain>
</file>

<file path=xl/sharedStrings.xml><?xml version="1.0" encoding="utf-8"?>
<sst xmlns="http://schemas.openxmlformats.org/spreadsheetml/2006/main" count="758" uniqueCount="303">
  <si>
    <t>Company Name</t>
  </si>
  <si>
    <t xml:space="preserve">Company </t>
  </si>
  <si>
    <t>Business Location</t>
  </si>
  <si>
    <t xml:space="preserve">Table of Content </t>
  </si>
  <si>
    <t>Inputs &amp; Calculation</t>
  </si>
  <si>
    <t>Inputs/Assumption</t>
  </si>
  <si>
    <t>Calculation</t>
  </si>
  <si>
    <t>Output &amp; Analysis</t>
  </si>
  <si>
    <t xml:space="preserve">Income Statement </t>
  </si>
  <si>
    <t>Balance Sheet</t>
  </si>
  <si>
    <t xml:space="preserve">Cashflow Statement </t>
  </si>
  <si>
    <t>Analysis</t>
  </si>
  <si>
    <t>DCF Valuation</t>
  </si>
  <si>
    <t>Business Description</t>
  </si>
  <si>
    <t>Business Industry</t>
  </si>
  <si>
    <t>Model Details</t>
  </si>
  <si>
    <t xml:space="preserve">Company Information </t>
  </si>
  <si>
    <t>Industry</t>
  </si>
  <si>
    <t>Purpose of the Model</t>
  </si>
  <si>
    <t>Model Owner</t>
  </si>
  <si>
    <t xml:space="preserve">Currency </t>
  </si>
  <si>
    <t>Major Timing</t>
  </si>
  <si>
    <t xml:space="preserve">Months in a period </t>
  </si>
  <si>
    <t xml:space="preserve">Days in a Year </t>
  </si>
  <si>
    <t>Model Period End</t>
  </si>
  <si>
    <t>Model Forecasting Period</t>
  </si>
  <si>
    <t>Model Period Start</t>
  </si>
  <si>
    <t xml:space="preserve">Model Style Guide </t>
  </si>
  <si>
    <t>Input Cell</t>
  </si>
  <si>
    <t>Formula Cell</t>
  </si>
  <si>
    <t>Linked Cell</t>
  </si>
  <si>
    <t>Percentage</t>
  </si>
  <si>
    <t>Total</t>
  </si>
  <si>
    <t>Subtotal</t>
  </si>
  <si>
    <t>Heading 1</t>
  </si>
  <si>
    <t>Heading 2</t>
  </si>
  <si>
    <t>Explanation</t>
  </si>
  <si>
    <t>Heading 3</t>
  </si>
  <si>
    <t>Investment Committee</t>
  </si>
  <si>
    <t>Nigeria</t>
  </si>
  <si>
    <t xml:space="preserve">Glossary </t>
  </si>
  <si>
    <t>Key Terms</t>
  </si>
  <si>
    <t>EBIT</t>
  </si>
  <si>
    <t>EBT</t>
  </si>
  <si>
    <t>IS</t>
  </si>
  <si>
    <t>BS</t>
  </si>
  <si>
    <t xml:space="preserve">Model Control </t>
  </si>
  <si>
    <t>Ctrl 1</t>
  </si>
  <si>
    <t>Ctrl 2</t>
  </si>
  <si>
    <t>Ctrl 3</t>
  </si>
  <si>
    <t>Ctrl 4</t>
  </si>
  <si>
    <t>Ctrl 5</t>
  </si>
  <si>
    <t>Ctrl 6</t>
  </si>
  <si>
    <t>Ctrl 7</t>
  </si>
  <si>
    <t>Ctrl 8</t>
  </si>
  <si>
    <t>Ctrl 9</t>
  </si>
  <si>
    <t>Ctrl 10</t>
  </si>
  <si>
    <t>Ctrl 11</t>
  </si>
  <si>
    <t>Ctrl 12</t>
  </si>
  <si>
    <t xml:space="preserve">Tage Corp </t>
  </si>
  <si>
    <t>Fashion</t>
  </si>
  <si>
    <t>Tage Corp</t>
  </si>
  <si>
    <t xml:space="preserve">Model Information </t>
  </si>
  <si>
    <t>Current Modeler</t>
  </si>
  <si>
    <t>Modeler's Contact</t>
  </si>
  <si>
    <t xml:space="preserve">Model Structure &amp; Navigation </t>
  </si>
  <si>
    <t>Sheet Structure</t>
  </si>
  <si>
    <t xml:space="preserve">Cover Page </t>
  </si>
  <si>
    <t>Guide</t>
  </si>
  <si>
    <t xml:space="preserve">Input </t>
  </si>
  <si>
    <t>Calculator</t>
  </si>
  <si>
    <t>Income Statement</t>
  </si>
  <si>
    <t xml:space="preserve">Cash Flow Satement </t>
  </si>
  <si>
    <t>Valuation</t>
  </si>
  <si>
    <t xml:space="preserve">Title </t>
  </si>
  <si>
    <t xml:space="preserve">Sub-title </t>
  </si>
  <si>
    <t>Title</t>
  </si>
  <si>
    <t>Sub-title</t>
  </si>
  <si>
    <t>Normal Cell</t>
  </si>
  <si>
    <t>Table Headers</t>
  </si>
  <si>
    <t>WIP</t>
  </si>
  <si>
    <t>Fafiola Oluwatimilehin</t>
  </si>
  <si>
    <t>+234-XXX-XXX'</t>
  </si>
  <si>
    <r>
      <t>Naira (</t>
    </r>
    <r>
      <rPr>
        <sz val="11"/>
        <color rgb="FF3F3F76"/>
        <rFont val="Calibri"/>
        <family val="2"/>
      </rPr>
      <t>₦</t>
    </r>
    <r>
      <rPr>
        <sz val="11"/>
        <color rgb="FF3F3F76"/>
        <rFont val="Century Schoolbook"/>
        <family val="1"/>
      </rPr>
      <t>)</t>
    </r>
  </si>
  <si>
    <t>Start Date</t>
  </si>
  <si>
    <t>End Date</t>
  </si>
  <si>
    <t>Year</t>
  </si>
  <si>
    <t>Row Total</t>
  </si>
  <si>
    <t>Template</t>
  </si>
  <si>
    <t>Model Scenerio</t>
  </si>
  <si>
    <t>Forecast</t>
  </si>
  <si>
    <t>Descriptions</t>
  </si>
  <si>
    <t>Model Balance Check</t>
  </si>
  <si>
    <t xml:space="preserve"> </t>
  </si>
  <si>
    <t>Menu</t>
  </si>
  <si>
    <t>PPE</t>
  </si>
  <si>
    <t>Names</t>
  </si>
  <si>
    <t>Description</t>
  </si>
  <si>
    <t>Property, Plants and Equipments</t>
  </si>
  <si>
    <t>Inp</t>
  </si>
  <si>
    <t>Inputs</t>
  </si>
  <si>
    <t>Calc</t>
  </si>
  <si>
    <t xml:space="preserve"> Balance Sheet</t>
  </si>
  <si>
    <t>CF</t>
  </si>
  <si>
    <t>Cash Flow Statement</t>
  </si>
  <si>
    <t xml:space="preserve">DCF </t>
  </si>
  <si>
    <t>Discounted Cash Flow</t>
  </si>
  <si>
    <t>Earnings Before Interest and Taxes</t>
  </si>
  <si>
    <t>Earnings Before Taxes</t>
  </si>
  <si>
    <t>EAT</t>
  </si>
  <si>
    <t>Earning After Taxes</t>
  </si>
  <si>
    <t>OWC</t>
  </si>
  <si>
    <t>Operating Working Capital</t>
  </si>
  <si>
    <t>General &amp; Macro-economic</t>
  </si>
  <si>
    <t>Assumptions</t>
  </si>
  <si>
    <t>Timing</t>
  </si>
  <si>
    <t>Counter</t>
  </si>
  <si>
    <t>Inflation</t>
  </si>
  <si>
    <t>Inflation rate</t>
  </si>
  <si>
    <t>Inflation index</t>
  </si>
  <si>
    <t>Pricing Growth</t>
  </si>
  <si>
    <t>Pricing growth rate</t>
  </si>
  <si>
    <t>Pricing index</t>
  </si>
  <si>
    <t>Quantity Growth</t>
  </si>
  <si>
    <t>Quantity growth rate</t>
  </si>
  <si>
    <t>Government</t>
  </si>
  <si>
    <t>Provision for tax rate</t>
  </si>
  <si>
    <t>Assets</t>
  </si>
  <si>
    <t>Assets depreciation</t>
  </si>
  <si>
    <t>Assets maintenance</t>
  </si>
  <si>
    <t>Funding &amp; Use of funds</t>
  </si>
  <si>
    <t>Funding</t>
  </si>
  <si>
    <t>Sources of Funds</t>
  </si>
  <si>
    <t>Loan</t>
  </si>
  <si>
    <t>Equity</t>
  </si>
  <si>
    <t>Total funding</t>
  </si>
  <si>
    <t>Cost of Financing - Loan</t>
  </si>
  <si>
    <t>Loan period</t>
  </si>
  <si>
    <t>Interest rate</t>
  </si>
  <si>
    <t>Cost of fnancing - equity</t>
  </si>
  <si>
    <t>Dividend payout ratio</t>
  </si>
  <si>
    <t>Discounting rate</t>
  </si>
  <si>
    <t>Use of Funds</t>
  </si>
  <si>
    <t>Business development</t>
  </si>
  <si>
    <t>Inventory</t>
  </si>
  <si>
    <t>Marketing</t>
  </si>
  <si>
    <t>Pre-operational cost</t>
  </si>
  <si>
    <t>Rent</t>
  </si>
  <si>
    <t>Insurance</t>
  </si>
  <si>
    <t>Working cash</t>
  </si>
  <si>
    <t>Total use of funds</t>
  </si>
  <si>
    <t>Operations</t>
  </si>
  <si>
    <t>Revenue &amp; Cost</t>
  </si>
  <si>
    <t>Revenue stream</t>
  </si>
  <si>
    <t>Cost of sales</t>
  </si>
  <si>
    <t>Quantity</t>
  </si>
  <si>
    <t>Selling, General &amp; Admin Expenses</t>
  </si>
  <si>
    <t>Human resources</t>
  </si>
  <si>
    <t>Other staff</t>
  </si>
  <si>
    <t>Operational cost</t>
  </si>
  <si>
    <t>Utility</t>
  </si>
  <si>
    <t>Maintenance</t>
  </si>
  <si>
    <t>Internet</t>
  </si>
  <si>
    <t>Miscellaneous</t>
  </si>
  <si>
    <t>Working capital</t>
  </si>
  <si>
    <t>Trade receivables</t>
  </si>
  <si>
    <t xml:space="preserve">Prepayment </t>
  </si>
  <si>
    <t>Liabilities</t>
  </si>
  <si>
    <t>Trade payables</t>
  </si>
  <si>
    <t>Accurals &amp; Other liabilities</t>
  </si>
  <si>
    <t>Units</t>
  </si>
  <si>
    <t xml:space="preserve">Inputs/Linked </t>
  </si>
  <si>
    <t>[%]</t>
  </si>
  <si>
    <t>[years]</t>
  </si>
  <si>
    <t>[unit/month]</t>
  </si>
  <si>
    <t>[count]</t>
  </si>
  <si>
    <t>[days]</t>
  </si>
  <si>
    <r>
      <t>[</t>
    </r>
    <r>
      <rPr>
        <sz val="11"/>
        <color theme="1"/>
        <rFont val="Calibri"/>
        <family val="2"/>
      </rPr>
      <t>₦</t>
    </r>
    <r>
      <rPr>
        <sz val="11"/>
        <color theme="1"/>
        <rFont val="Century Schoolbook"/>
        <family val="1"/>
      </rPr>
      <t>]</t>
    </r>
  </si>
  <si>
    <r>
      <t>[</t>
    </r>
    <r>
      <rPr>
        <sz val="11"/>
        <color theme="1"/>
        <rFont val="Calibri"/>
        <family val="2"/>
      </rPr>
      <t>₦</t>
    </r>
    <r>
      <rPr>
        <sz val="11"/>
        <color theme="1"/>
        <rFont val="Century Schoolbook"/>
        <family val="1"/>
      </rPr>
      <t>/month]</t>
    </r>
  </si>
  <si>
    <t>Operations Calculation</t>
  </si>
  <si>
    <t>Revenue  &amp; Cost of Sales</t>
  </si>
  <si>
    <t>Months in a period</t>
  </si>
  <si>
    <t>Product Pricing</t>
  </si>
  <si>
    <t>Product Cost</t>
  </si>
  <si>
    <t>Product Quantity</t>
  </si>
  <si>
    <t>Revenue</t>
  </si>
  <si>
    <t>Total revenue</t>
  </si>
  <si>
    <t>Cost of Sales</t>
  </si>
  <si>
    <t>Salary Schedule</t>
  </si>
  <si>
    <t>Salary</t>
  </si>
  <si>
    <t>Operational Cost</t>
  </si>
  <si>
    <t>Operational expense</t>
  </si>
  <si>
    <t>Summarized SG&amp;A</t>
  </si>
  <si>
    <t>SG&amp;A</t>
  </si>
  <si>
    <t>Days in a period</t>
  </si>
  <si>
    <t>Current assets</t>
  </si>
  <si>
    <t>Current liabilites</t>
  </si>
  <si>
    <t>Loan Schedule</t>
  </si>
  <si>
    <t>Beginning balance</t>
  </si>
  <si>
    <t>Add: New Loans</t>
  </si>
  <si>
    <t>Less: Repayment</t>
  </si>
  <si>
    <t>Ending balance</t>
  </si>
  <si>
    <t>Interest expense</t>
  </si>
  <si>
    <t>Equity Schedule</t>
  </si>
  <si>
    <t>[+/-] Change</t>
  </si>
  <si>
    <t>Retained earnings</t>
  </si>
  <si>
    <t>Add: net profit</t>
  </si>
  <si>
    <t>Less: Dividends</t>
  </si>
  <si>
    <t>Unit</t>
  </si>
  <si>
    <t>Input/Linked</t>
  </si>
  <si>
    <t>[unit]</t>
  </si>
  <si>
    <t>[₦]</t>
  </si>
  <si>
    <r>
      <t>[</t>
    </r>
    <r>
      <rPr>
        <sz val="11"/>
        <color theme="1"/>
        <rFont val="Calibri"/>
        <family val="2"/>
      </rPr>
      <t>₦</t>
    </r>
    <r>
      <rPr>
        <sz val="11"/>
        <color theme="1"/>
        <rFont val="Century Schoolbook"/>
        <family val="1"/>
      </rPr>
      <t>/month</t>
    </r>
    <r>
      <rPr>
        <sz val="11"/>
        <color theme="1"/>
        <rFont val="Century Schoolbook"/>
        <family val="1"/>
      </rPr>
      <t>]</t>
    </r>
  </si>
  <si>
    <t xml:space="preserve">Production equipment &amp; machinery </t>
  </si>
  <si>
    <t>Fabrics/raw materials</t>
  </si>
  <si>
    <t xml:space="preserve">Marketing &amp; branding </t>
  </si>
  <si>
    <t xml:space="preserve">Staffing &amp; training </t>
  </si>
  <si>
    <t xml:space="preserve">Ready-to-wear dresses </t>
  </si>
  <si>
    <t xml:space="preserve">Custom-made outfits </t>
  </si>
  <si>
    <t xml:space="preserve">Accessories (bags/scarves) </t>
  </si>
  <si>
    <t>Tailors</t>
  </si>
  <si>
    <t>Designer</t>
  </si>
  <si>
    <t>Marketer</t>
  </si>
  <si>
    <t>Admin</t>
  </si>
  <si>
    <t>Do not Change Any Value in Linked Cells. Do that in the Input Sheet</t>
  </si>
  <si>
    <t>Tage</t>
  </si>
  <si>
    <t>Location</t>
  </si>
  <si>
    <t>Awareness</t>
  </si>
  <si>
    <t>Business Assets</t>
  </si>
  <si>
    <t>Total Business Asset</t>
  </si>
  <si>
    <t>Capex &amp; Depreciation</t>
  </si>
  <si>
    <t>Assets Maintenance</t>
  </si>
  <si>
    <t>Beginning Balance</t>
  </si>
  <si>
    <t>Add: New Capex</t>
  </si>
  <si>
    <t>Less: Depriciation</t>
  </si>
  <si>
    <t>Ending Balance</t>
  </si>
  <si>
    <t>Total Depreciation</t>
  </si>
  <si>
    <t>Divisor</t>
  </si>
  <si>
    <t>Operating Working capital</t>
  </si>
  <si>
    <t xml:space="preserve">Cost of Sales </t>
  </si>
  <si>
    <t xml:space="preserve">Gross Profit </t>
  </si>
  <si>
    <t>EBITDA</t>
  </si>
  <si>
    <t>ebitda margin</t>
  </si>
  <si>
    <t>Depriciation</t>
  </si>
  <si>
    <t>Interest Expense</t>
  </si>
  <si>
    <t>Profit before tax</t>
  </si>
  <si>
    <t>Tax Expense</t>
  </si>
  <si>
    <t>Profit before the Period</t>
  </si>
  <si>
    <t>gross margin</t>
  </si>
  <si>
    <t>net profit margin</t>
  </si>
  <si>
    <t>[₦'000]</t>
  </si>
  <si>
    <t>Non Current Assets (NCA)</t>
  </si>
  <si>
    <t>Net PPE</t>
  </si>
  <si>
    <t>Total NCA</t>
  </si>
  <si>
    <t>Current Assets (CA)</t>
  </si>
  <si>
    <t xml:space="preserve">Inventories </t>
  </si>
  <si>
    <t xml:space="preserve">Trade Recievable </t>
  </si>
  <si>
    <t xml:space="preserve">Cash &amp; Cash equivalent </t>
  </si>
  <si>
    <t>Total CA</t>
  </si>
  <si>
    <t>Total Assets</t>
  </si>
  <si>
    <t>Non Current Liabilities (NCL)</t>
  </si>
  <si>
    <t>Long Term Loan</t>
  </si>
  <si>
    <t>Total NCL</t>
  </si>
  <si>
    <t>Current Liabilities (CL)</t>
  </si>
  <si>
    <t>Trade Payables</t>
  </si>
  <si>
    <t>Accurals &amp; Other Liabilities</t>
  </si>
  <si>
    <t>Total CL</t>
  </si>
  <si>
    <t>Total Liabilities</t>
  </si>
  <si>
    <t>Share Capital</t>
  </si>
  <si>
    <t>Retained Earnings</t>
  </si>
  <si>
    <t>Total Equity</t>
  </si>
  <si>
    <t>Total Equity &amp; Liabilities</t>
  </si>
  <si>
    <t xml:space="preserve">Model Check </t>
  </si>
  <si>
    <t>Profit Before Tax</t>
  </si>
  <si>
    <t>Changes in OWC</t>
  </si>
  <si>
    <t>Inventories</t>
  </si>
  <si>
    <t>Trade Recievables</t>
  </si>
  <si>
    <t>Taxation</t>
  </si>
  <si>
    <t>Tax Paid</t>
  </si>
  <si>
    <t>Net CFFO</t>
  </si>
  <si>
    <t>Cash Flow from Investing Activities (CFFI)</t>
  </si>
  <si>
    <t>Net CFFI</t>
  </si>
  <si>
    <t>Cash Flow from Operating Activities (CFFO)</t>
  </si>
  <si>
    <t>Cash Flow from Financing Activities (CFFF)</t>
  </si>
  <si>
    <t>Equity new Issue</t>
  </si>
  <si>
    <t>Long Term Loans</t>
  </si>
  <si>
    <t>Dividends</t>
  </si>
  <si>
    <t>Principal Repayment</t>
  </si>
  <si>
    <t>Net CFFF</t>
  </si>
  <si>
    <t>Cash Schedule</t>
  </si>
  <si>
    <t>Cash for the Period</t>
  </si>
  <si>
    <t>Ending Cash Balance</t>
  </si>
  <si>
    <t>[₦ 0'000]</t>
  </si>
  <si>
    <t>Depriciation &amp; amort.</t>
  </si>
  <si>
    <t>adjustment for non-cash</t>
  </si>
  <si>
    <t>Prepayment</t>
  </si>
  <si>
    <t xml:space="preserve">Check </t>
  </si>
  <si>
    <t xml:space="preserve">Best Case </t>
  </si>
  <si>
    <t>Base Case</t>
  </si>
  <si>
    <t>Worst Case</t>
  </si>
  <si>
    <t>switch</t>
  </si>
  <si>
    <t>List</t>
  </si>
  <si>
    <t>make changes from the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</si>
</sst>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.00;[Red]\(#,##0.00\);\-"/>
    <numFmt numFmtId="165" formatCode="0\ &quot;Months&quot;"/>
    <numFmt numFmtId="166" formatCode="0\ &quot;Days&quot;"/>
    <numFmt numFmtId="167" formatCode="0\ &quot;Years&quot;"/>
    <numFmt numFmtId="168" formatCode="#,##0.0_);[Red]\(#,##0.0\);\-"/>
    <numFmt numFmtId="169" formatCode="0.00%_);[Red]\(0.00%\);\-"/>
    <numFmt numFmtId="170" formatCode="0.00\x"/>
    <numFmt numFmtId="171" formatCode=";;;"/>
    <numFmt numFmtId="172" formatCode="0.00&quot;x&quot;"/>
  </numFmts>
  <fonts count="41" x14ac:knownFonts="1">
    <font>
      <sz val="11"/>
      <color theme="1"/>
      <name val="Century Schoolbook"/>
      <family val="1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1"/>
      <name val="Century Schoolbook"/>
      <family val="1"/>
    </font>
    <font>
      <b/>
      <sz val="15"/>
      <color theme="0" tint="0.39991454817346722"/>
      <name val="Century Schoolbook"/>
      <family val="1"/>
    </font>
    <font>
      <b/>
      <sz val="13"/>
      <color theme="0" tint="0.39991454817346722"/>
      <name val="Century Schoolbook"/>
      <family val="1"/>
    </font>
    <font>
      <b/>
      <sz val="11"/>
      <color theme="0" tint="0.39991454817346722"/>
      <name val="Century Schoolbook"/>
      <family val="1"/>
    </font>
    <font>
      <sz val="11"/>
      <color rgb="FF3F3F76"/>
      <name val="Century Schoolbook"/>
      <family val="1"/>
    </font>
    <font>
      <sz val="12"/>
      <color theme="1"/>
      <name val="Century Schoolbook"/>
      <family val="1"/>
    </font>
    <font>
      <b/>
      <sz val="11"/>
      <color theme="1"/>
      <name val="Century Schoolbook"/>
      <family val="1"/>
    </font>
    <font>
      <i/>
      <sz val="28"/>
      <color theme="0"/>
      <name val="Brush Script MT"/>
      <family val="4"/>
    </font>
    <font>
      <sz val="11"/>
      <color theme="0" tint="0.89996032593768116"/>
      <name val="Century Schoolbook"/>
      <family val="1"/>
    </font>
    <font>
      <sz val="11"/>
      <color rgb="FF3F3F76"/>
      <name val="Calibri"/>
      <family val="2"/>
    </font>
    <font>
      <i/>
      <sz val="20"/>
      <color theme="2"/>
      <name val="Brush Script MT"/>
      <family val="4"/>
    </font>
    <font>
      <i/>
      <u/>
      <sz val="11"/>
      <color theme="2" tint="-0.24994659260841701"/>
      <name val="Century Schoolbook"/>
      <family val="1"/>
    </font>
    <font>
      <sz val="11"/>
      <color theme="1"/>
      <name val="Calibri"/>
      <family val="2"/>
    </font>
    <font>
      <sz val="11"/>
      <color theme="1"/>
      <name val="Georgia Pro"/>
      <family val="1"/>
    </font>
    <font>
      <sz val="11"/>
      <name val="Georgia Pro"/>
      <family val="1"/>
    </font>
    <font>
      <sz val="11"/>
      <color theme="4"/>
      <name val="Georgia Pro"/>
      <family val="1"/>
    </font>
    <font>
      <b/>
      <sz val="11"/>
      <color theme="1"/>
      <name val="Georgia Pro"/>
      <family val="1"/>
    </font>
    <font>
      <b/>
      <sz val="26"/>
      <color theme="0"/>
      <name val="Georgia Pro"/>
      <family val="1"/>
    </font>
    <font>
      <b/>
      <sz val="18"/>
      <color theme="1" tint="0.499984740745262"/>
      <name val="Georgia Pro"/>
      <family val="1"/>
    </font>
    <font>
      <b/>
      <sz val="12"/>
      <color theme="3"/>
      <name val="Georgia Pro"/>
      <family val="1"/>
    </font>
    <font>
      <b/>
      <sz val="12"/>
      <color theme="5"/>
      <name val="Georgia Pro"/>
      <family val="1"/>
    </font>
    <font>
      <b/>
      <sz val="11"/>
      <color theme="8" tint="-0.24994659260841701"/>
      <name val="Georgia Pro"/>
      <family val="1"/>
    </font>
    <font>
      <sz val="11"/>
      <color theme="0"/>
      <name val="Georgia Pro"/>
      <family val="1"/>
    </font>
    <font>
      <u/>
      <sz val="11"/>
      <color theme="10"/>
      <name val="Georgia Pro"/>
      <family val="1"/>
    </font>
    <font>
      <sz val="11"/>
      <color rgb="FF7F7F7F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Book Antiqua"/>
      <family val="1"/>
    </font>
    <font>
      <b/>
      <sz val="18"/>
      <color theme="0"/>
      <name val="Century Schoolbook"/>
      <family val="1"/>
    </font>
    <font>
      <b/>
      <sz val="11"/>
      <color theme="2" tint="0.39997558519241921"/>
      <name val="Century Schoolbook"/>
      <family val="1"/>
    </font>
    <font>
      <b/>
      <sz val="11"/>
      <color theme="0" tint="9.9978637043366805E-2"/>
      <name val="Century Schoolbook"/>
      <family val="1"/>
    </font>
    <font>
      <b/>
      <sz val="11"/>
      <color theme="0"/>
      <name val="Century Schoolbook"/>
      <family val="1"/>
    </font>
    <font>
      <b/>
      <i/>
      <sz val="11"/>
      <color theme="1"/>
      <name val="Century Schoolbook"/>
      <family val="1"/>
    </font>
    <font>
      <b/>
      <i/>
      <sz val="11"/>
      <color theme="1"/>
      <name val="Georgia Pro"/>
      <family val="1"/>
    </font>
    <font>
      <b/>
      <u/>
      <sz val="11"/>
      <color theme="1"/>
      <name val="Century Schoolbook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0.79998168889431442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0.49998474074526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lightUp">
        <bgColor rgb="FFC00000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2" tint="-0.499984740745262"/>
      </bottom>
      <diagonal/>
    </border>
    <border>
      <left/>
      <right/>
      <top/>
      <bottom style="medium">
        <color theme="2" tint="0.39994506668294322"/>
      </bottom>
      <diagonal/>
    </border>
    <border>
      <left/>
      <right/>
      <top/>
      <bottom style="thick">
        <color theme="2" tint="-0.24994659260841701"/>
      </bottom>
      <diagonal/>
    </border>
    <border>
      <left style="thin">
        <color theme="2" tint="0.59996337778862885"/>
      </left>
      <right style="thin">
        <color theme="2" tint="0.59996337778862885"/>
      </right>
      <top style="thin">
        <color theme="2" tint="0.59996337778862885"/>
      </top>
      <bottom style="thin">
        <color theme="2" tint="0.59996337778862885"/>
      </bottom>
      <diagonal/>
    </border>
    <border>
      <left style="mediumDashDot">
        <color theme="2"/>
      </left>
      <right style="mediumDashDot">
        <color theme="2"/>
      </right>
      <top style="mediumDashDot">
        <color theme="2"/>
      </top>
      <bottom style="mediumDashDot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/>
      </top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dashed">
        <color rgb="FF7F7F7F"/>
      </left>
      <right style="dashed">
        <color rgb="FF7F7F7F"/>
      </right>
      <top style="dashed">
        <color rgb="FF7F7F7F"/>
      </top>
      <bottom style="dashed">
        <color rgb="FF7F7F7F"/>
      </bottom>
      <diagonal/>
    </border>
    <border>
      <left style="thin">
        <color rgb="FFFF8001"/>
      </left>
      <right style="thin">
        <color rgb="FFFF8001"/>
      </right>
      <top style="thin">
        <color rgb="FFFF8001"/>
      </top>
      <bottom style="thin">
        <color rgb="FFFF800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theme="5"/>
      </bottom>
      <diagonal/>
    </border>
    <border>
      <left/>
      <right/>
      <top/>
      <bottom style="medium">
        <color theme="8" tint="-0.24994659260841701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ck">
        <color theme="2" tint="-0.499984740745262"/>
      </top>
      <bottom style="medium">
        <color theme="2" tint="0.39994506668294322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/>
      <bottom style="thin">
        <color theme="4"/>
      </bottom>
      <diagonal/>
    </border>
    <border>
      <left/>
      <right style="thin">
        <color indexed="64"/>
      </right>
      <top/>
      <bottom/>
      <diagonal/>
    </border>
  </borders>
  <cellStyleXfs count="40">
    <xf numFmtId="168" fontId="0" fillId="0" borderId="0" applyFill="0" applyBorder="0" applyAlignment="0"/>
    <xf numFmtId="0" fontId="6" fillId="0" borderId="1" applyNumberFormat="0" applyFill="0" applyAlignment="0" applyProtection="0"/>
    <xf numFmtId="0" fontId="7" fillId="0" borderId="3" applyNumberFormat="0" applyFill="0" applyAlignment="0" applyProtection="0"/>
    <xf numFmtId="0" fontId="8" fillId="0" borderId="2" applyNumberFormat="0" applyFill="0" applyAlignment="0" applyProtection="0"/>
    <xf numFmtId="0" fontId="9" fillId="2" borderId="4" applyNumberFormat="0" applyAlignment="0" applyProtection="0"/>
    <xf numFmtId="0" fontId="5" fillId="0" borderId="6" applyNumberFormat="0" applyAlignment="0" applyProtection="0"/>
    <xf numFmtId="0" fontId="2" fillId="0" borderId="0" applyNumberFormat="0" applyFill="0" applyBorder="0" applyProtection="0">
      <alignment horizontal="left"/>
    </xf>
    <xf numFmtId="0" fontId="11" fillId="0" borderId="7" applyNumberFormat="0" applyFill="0" applyAlignment="0" applyProtection="0"/>
    <xf numFmtId="0" fontId="10" fillId="0" borderId="5" applyFill="0" applyProtection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0" fontId="11" fillId="0" borderId="8" applyNumberFormat="0" applyFill="0" applyAlignment="0" applyProtection="0"/>
    <xf numFmtId="164" fontId="12" fillId="5" borderId="0" applyNumberFormat="0" applyAlignment="0" applyProtection="0"/>
    <xf numFmtId="164" fontId="15" fillId="0" borderId="0" applyNumberFormat="0" applyAlignment="0" applyProtection="0"/>
    <xf numFmtId="168" fontId="13" fillId="3" borderId="0" applyNumberFormat="0" applyBorder="0" applyAlignment="0" applyProtection="0"/>
    <xf numFmtId="171" fontId="13" fillId="4" borderId="0" applyBorder="0" applyAlignment="0" applyProtection="0"/>
    <xf numFmtId="0" fontId="11" fillId="0" borderId="9" applyNumberFormat="0" applyFill="0" applyAlignment="0" applyProtection="0"/>
    <xf numFmtId="168" fontId="18" fillId="0" borderId="0" applyFill="0" applyBorder="0" applyAlignment="0" applyProtection="0"/>
    <xf numFmtId="0" fontId="22" fillId="7" borderId="0" applyNumberFormat="0" applyBorder="0" applyAlignment="0" applyProtection="0"/>
    <xf numFmtId="0" fontId="24" fillId="0" borderId="10" applyNumberFormat="0" applyFill="0" applyAlignment="0" applyProtection="0"/>
    <xf numFmtId="0" fontId="25" fillId="0" borderId="15" applyNumberFormat="0" applyFill="0" applyAlignment="0" applyProtection="0"/>
    <xf numFmtId="0" fontId="26" fillId="0" borderId="16" applyNumberFormat="0" applyFill="0" applyAlignment="0" applyProtection="0"/>
    <xf numFmtId="0" fontId="19" fillId="6" borderId="11" applyNumberFormat="0" applyAlignment="0" applyProtection="0"/>
    <xf numFmtId="0" fontId="19" fillId="0" borderId="12" applyNumberFormat="0" applyFill="0" applyAlignment="0" applyProtection="0"/>
    <xf numFmtId="0" fontId="20" fillId="0" borderId="0" applyNumberFormat="0" applyFill="0" applyBorder="0" applyAlignment="0" applyProtection="0"/>
    <xf numFmtId="169" fontId="18" fillId="0" borderId="0" applyFont="0" applyFill="0" applyBorder="0" applyAlignment="0" applyProtection="0"/>
    <xf numFmtId="168" fontId="21" fillId="0" borderId="13" applyNumberFormat="0" applyFill="0" applyAlignment="0" applyProtection="0"/>
    <xf numFmtId="168" fontId="21" fillId="0" borderId="14" applyFill="0" applyAlignment="0" applyProtection="0"/>
    <xf numFmtId="172" fontId="18" fillId="0" borderId="0" applyFont="0" applyFill="0" applyBorder="0" applyAlignment="0" applyProtection="0"/>
    <xf numFmtId="0" fontId="23" fillId="0" borderId="0" applyNumberFormat="0" applyBorder="0" applyAlignment="0" applyProtection="0"/>
    <xf numFmtId="168" fontId="27" fillId="8" borderId="0" applyNumberFormat="0" applyBorder="0" applyAlignment="0" applyProtection="0"/>
    <xf numFmtId="171" fontId="27" fillId="9" borderId="0" applyBorder="0" applyAlignment="0" applyProtection="0"/>
    <xf numFmtId="168" fontId="28" fillId="0" borderId="0" applyNumberFormat="0" applyFill="0" applyBorder="0" applyAlignment="0" applyProtection="0"/>
    <xf numFmtId="0" fontId="29" fillId="0" borderId="0" applyFill="0" applyBorder="0" applyAlignment="0" applyProtection="0"/>
    <xf numFmtId="0" fontId="2" fillId="0" borderId="0" applyNumberFormat="0" applyFill="0" applyBorder="0" applyAlignment="0" applyProtection="0"/>
    <xf numFmtId="0" fontId="30" fillId="0" borderId="0" applyFill="0" applyAlignment="0" applyProtection="0"/>
    <xf numFmtId="0" fontId="31" fillId="0" borderId="0" applyFill="0" applyAlignment="0" applyProtection="0"/>
    <xf numFmtId="0" fontId="32" fillId="0" borderId="17" applyNumberFormat="0" applyFill="0" applyAlignment="0" applyProtection="0"/>
  </cellStyleXfs>
  <cellXfs count="70">
    <xf numFmtId="168" fontId="0" fillId="0" borderId="0" xfId="0"/>
    <xf numFmtId="14" fontId="9" fillId="2" borderId="4" xfId="4" applyNumberFormat="1"/>
    <xf numFmtId="164" fontId="6" fillId="0" borderId="1" xfId="1" applyNumberFormat="1"/>
    <xf numFmtId="164" fontId="7" fillId="0" borderId="3" xfId="2" applyNumberFormat="1"/>
    <xf numFmtId="164" fontId="2" fillId="0" borderId="0" xfId="6" applyNumberFormat="1">
      <alignment horizontal="left"/>
    </xf>
    <xf numFmtId="164" fontId="8" fillId="0" borderId="2" xfId="3" applyNumberFormat="1"/>
    <xf numFmtId="165" fontId="9" fillId="2" borderId="4" xfId="4" applyNumberFormat="1"/>
    <xf numFmtId="166" fontId="9" fillId="2" borderId="4" xfId="4" applyNumberFormat="1"/>
    <xf numFmtId="167" fontId="9" fillId="2" borderId="4" xfId="4" applyNumberFormat="1"/>
    <xf numFmtId="169" fontId="0" fillId="0" borderId="0" xfId="9" applyFont="1" applyFill="1"/>
    <xf numFmtId="168" fontId="0" fillId="2" borderId="4" xfId="0" applyFill="1" applyBorder="1"/>
    <xf numFmtId="168" fontId="0" fillId="0" borderId="5" xfId="0" applyBorder="1"/>
    <xf numFmtId="168" fontId="11" fillId="0" borderId="7" xfId="7" applyNumberFormat="1"/>
    <xf numFmtId="170" fontId="0" fillId="0" borderId="0" xfId="10" applyFont="1"/>
    <xf numFmtId="164" fontId="12" fillId="5" borderId="0" xfId="14" applyNumberFormat="1"/>
    <xf numFmtId="168" fontId="12" fillId="5" borderId="0" xfId="14" applyNumberFormat="1"/>
    <xf numFmtId="168" fontId="15" fillId="0" borderId="0" xfId="15" applyNumberFormat="1"/>
    <xf numFmtId="168" fontId="13" fillId="3" borderId="0" xfId="16"/>
    <xf numFmtId="171" fontId="13" fillId="4" borderId="0" xfId="17"/>
    <xf numFmtId="168" fontId="9" fillId="2" borderId="4" xfId="4" applyNumberFormat="1"/>
    <xf numFmtId="168" fontId="9" fillId="2" borderId="4" xfId="4" quotePrefix="1" applyNumberFormat="1"/>
    <xf numFmtId="0" fontId="0" fillId="0" borderId="0" xfId="0" applyNumberFormat="1"/>
    <xf numFmtId="14" fontId="0" fillId="0" borderId="0" xfId="0" applyNumberFormat="1"/>
    <xf numFmtId="15" fontId="0" fillId="0" borderId="0" xfId="0" applyNumberFormat="1"/>
    <xf numFmtId="168" fontId="2" fillId="0" borderId="0" xfId="6" applyNumberFormat="1">
      <alignment horizontal="left"/>
    </xf>
    <xf numFmtId="168" fontId="16" fillId="5" borderId="0" xfId="12" applyNumberFormat="1" applyFill="1" applyAlignment="1">
      <alignment horizontal="center"/>
    </xf>
    <xf numFmtId="168" fontId="16" fillId="0" borderId="0" xfId="12" applyNumberFormat="1"/>
    <xf numFmtId="168" fontId="8" fillId="0" borderId="2" xfId="3" applyNumberFormat="1"/>
    <xf numFmtId="168" fontId="6" fillId="0" borderId="1" xfId="1" applyNumberFormat="1"/>
    <xf numFmtId="168" fontId="11" fillId="0" borderId="9" xfId="18" applyNumberFormat="1"/>
    <xf numFmtId="168" fontId="11" fillId="0" borderId="8" xfId="13" applyNumberFormat="1"/>
    <xf numFmtId="168" fontId="0" fillId="0" borderId="0" xfId="0" applyBorder="1"/>
    <xf numFmtId="168" fontId="0" fillId="0" borderId="0" xfId="0" applyAlignment="1">
      <alignment horizontal="right"/>
    </xf>
    <xf numFmtId="168" fontId="20" fillId="2" borderId="4" xfId="26" applyNumberFormat="1" applyFill="1" applyBorder="1"/>
    <xf numFmtId="169" fontId="20" fillId="2" borderId="4" xfId="26" applyNumberFormat="1" applyFill="1" applyBorder="1"/>
    <xf numFmtId="169" fontId="20" fillId="2" borderId="4" xfId="9" applyFont="1" applyFill="1" applyBorder="1"/>
    <xf numFmtId="168" fontId="33" fillId="0" borderId="0" xfId="0" applyFont="1"/>
    <xf numFmtId="168" fontId="5" fillId="0" borderId="6" xfId="5" applyNumberFormat="1"/>
    <xf numFmtId="170" fontId="5" fillId="0" borderId="6" xfId="10" applyFont="1" applyBorder="1"/>
    <xf numFmtId="169" fontId="5" fillId="0" borderId="6" xfId="9" applyFont="1" applyBorder="1"/>
    <xf numFmtId="168" fontId="8" fillId="0" borderId="18" xfId="3" applyNumberFormat="1" applyBorder="1"/>
    <xf numFmtId="168" fontId="34" fillId="0" borderId="0" xfId="0" applyFont="1"/>
    <xf numFmtId="168" fontId="35" fillId="0" borderId="0" xfId="0" applyFont="1"/>
    <xf numFmtId="168" fontId="36" fillId="0" borderId="0" xfId="0" applyFont="1"/>
    <xf numFmtId="168" fontId="37" fillId="0" borderId="0" xfId="0" applyFont="1"/>
    <xf numFmtId="169" fontId="0" fillId="0" borderId="0" xfId="9" applyFont="1"/>
    <xf numFmtId="169" fontId="5" fillId="0" borderId="6" xfId="5" applyNumberFormat="1"/>
    <xf numFmtId="168" fontId="11" fillId="0" borderId="0" xfId="0" applyFont="1"/>
    <xf numFmtId="170" fontId="9" fillId="2" borderId="4" xfId="4" applyNumberFormat="1"/>
    <xf numFmtId="170" fontId="5" fillId="0" borderId="6" xfId="5" applyNumberFormat="1"/>
    <xf numFmtId="0" fontId="9" fillId="2" borderId="4" xfId="4" applyNumberFormat="1"/>
    <xf numFmtId="0" fontId="0" fillId="0" borderId="9" xfId="0" applyNumberFormat="1" applyBorder="1"/>
    <xf numFmtId="168" fontId="0" fillId="0" borderId="21" xfId="0" applyBorder="1"/>
    <xf numFmtId="168" fontId="0" fillId="0" borderId="20" xfId="0" applyBorder="1"/>
    <xf numFmtId="168" fontId="5" fillId="0" borderId="0" xfId="5" applyNumberFormat="1" applyBorder="1"/>
    <xf numFmtId="169" fontId="2" fillId="0" borderId="0" xfId="9" applyFont="1"/>
    <xf numFmtId="169" fontId="2" fillId="0" borderId="0" xfId="36" applyNumberFormat="1"/>
    <xf numFmtId="169" fontId="2" fillId="0" borderId="0" xfId="36" applyNumberFormat="1" applyAlignment="1">
      <alignment horizontal="left"/>
    </xf>
    <xf numFmtId="168" fontId="2" fillId="0" borderId="8" xfId="6" applyNumberFormat="1" applyBorder="1">
      <alignment horizontal="left"/>
    </xf>
    <xf numFmtId="168" fontId="2" fillId="0" borderId="7" xfId="6" applyNumberFormat="1" applyBorder="1">
      <alignment horizontal="left"/>
    </xf>
    <xf numFmtId="168" fontId="8" fillId="0" borderId="2" xfId="3" applyNumberFormat="1" applyAlignment="1">
      <alignment horizontal="left"/>
    </xf>
    <xf numFmtId="168" fontId="11" fillId="0" borderId="8" xfId="13" applyNumberFormat="1" applyAlignment="1">
      <alignment horizontal="left"/>
    </xf>
    <xf numFmtId="168" fontId="11" fillId="0" borderId="7" xfId="7" applyNumberFormat="1" applyAlignment="1">
      <alignment horizontal="left"/>
    </xf>
    <xf numFmtId="168" fontId="38" fillId="0" borderId="0" xfId="0" applyFont="1"/>
    <xf numFmtId="168" fontId="2" fillId="0" borderId="2" xfId="6" applyNumberFormat="1" applyBorder="1">
      <alignment horizontal="left"/>
    </xf>
    <xf numFmtId="168" fontId="39" fillId="0" borderId="0" xfId="19" applyFont="1"/>
    <xf numFmtId="168" fontId="40" fillId="0" borderId="0" xfId="0" applyFont="1"/>
    <xf numFmtId="168" fontId="0" fillId="10" borderId="0" xfId="0" applyFill="1"/>
    <xf numFmtId="168" fontId="2" fillId="0" borderId="19" xfId="36" applyNumberFormat="1" applyBorder="1"/>
    <xf numFmtId="168" fontId="2" fillId="0" borderId="0" xfId="36" applyNumberFormat="1"/>
  </cellXfs>
  <cellStyles count="40">
    <cellStyle name="Explanatory Text" xfId="6" builtinId="53" customBuiltin="1"/>
    <cellStyle name="Explanatory Text 2" xfId="36" xr:uid="{C536AFDF-C0EB-46BE-BEFC-72211D0DC22B}"/>
    <cellStyle name="Formula" xfId="8" xr:uid="{2A799406-1591-4FD6-925B-BBB2790B97EF}"/>
    <cellStyle name="Hardcode" xfId="26" xr:uid="{B159AB40-7BDC-4F78-83BD-BCB78A1E60FF}"/>
    <cellStyle name="Heading 1" xfId="1" builtinId="16" customBuiltin="1"/>
    <cellStyle name="Heading 1 2" xfId="37" xr:uid="{AB2CC695-547D-4F5D-A35C-C545D534D309}"/>
    <cellStyle name="Heading 1 3" xfId="21" xr:uid="{33EDFFA9-5E47-4A6A-BF67-0BE912389994}"/>
    <cellStyle name="Heading 2" xfId="2" builtinId="17" customBuiltin="1"/>
    <cellStyle name="Heading 2 2" xfId="38" xr:uid="{AA455C01-8D2A-407D-8D0D-E468C82816DC}"/>
    <cellStyle name="Heading 2 3" xfId="22" xr:uid="{1189915D-F313-4FEB-A057-513C16AC49B8}"/>
    <cellStyle name="Heading 3" xfId="3" builtinId="18" customBuiltin="1"/>
    <cellStyle name="Heading 3 2" xfId="23" xr:uid="{06FCB709-C5B4-4C31-AEC1-5F0B2C94C036}"/>
    <cellStyle name="Heading 4" xfId="18" builtinId="19" customBuiltin="1"/>
    <cellStyle name="Hyperlink" xfId="12" builtinId="8" customBuiltin="1"/>
    <cellStyle name="Hyperlink 2" xfId="34" xr:uid="{F9415456-C2B8-40D4-A78F-ECB66515190A}"/>
    <cellStyle name="Input" xfId="4" builtinId="20" customBuiltin="1"/>
    <cellStyle name="Input 2" xfId="24" xr:uid="{383E62AE-4F3A-46A1-B4D6-3D705C4DA302}"/>
    <cellStyle name="Linked Cell" xfId="5" builtinId="24" customBuiltin="1"/>
    <cellStyle name="Linked Cell 2" xfId="25" xr:uid="{8765040B-A66C-4F1F-84B0-69AFC95639C8}"/>
    <cellStyle name="Multiple cell" xfId="10" xr:uid="{FEBE0B9D-4474-4892-B0AA-D8D3301C2384}"/>
    <cellStyle name="Multiples" xfId="30" xr:uid="{4A7C2A2E-1B28-4212-98D6-969FC1AFCF79}"/>
    <cellStyle name="Normal" xfId="0" builtinId="0" customBuiltin="1"/>
    <cellStyle name="Normal 2" xfId="19" xr:uid="{ABF8338F-FDEF-4321-9063-31A3BB296B7B}"/>
    <cellStyle name="Notes" xfId="35" xr:uid="{5DDBF76D-4C56-4A13-80BD-6E1D8C3E380B}"/>
    <cellStyle name="Percent" xfId="9" builtinId="5" customBuiltin="1"/>
    <cellStyle name="Percentage" xfId="27" xr:uid="{0D5F6198-DCBF-459F-B837-9EC6599CDCF4}"/>
    <cellStyle name="Sub-title" xfId="15" xr:uid="{B7EB2D79-2EEF-47C3-9B7A-EABE74F7B64F}"/>
    <cellStyle name="Sub-title 2" xfId="31" xr:uid="{33EC2502-7B4A-493A-AD70-30D84D6B7481}"/>
    <cellStyle name="SubTotal" xfId="39" xr:uid="{A793A9BC-45F9-4CB6-9BB1-DB33499A31E3}"/>
    <cellStyle name="Sub-total" xfId="13" xr:uid="{059C14C3-A172-48A4-88F7-8CFE12F7AFC0}"/>
    <cellStyle name="Sub-total 2" xfId="29" xr:uid="{50806185-A4FF-4213-97AC-D0BEE05E4030}"/>
    <cellStyle name="Table Headers" xfId="16" xr:uid="{58DD1E89-BC83-43FD-B95C-D845AC915EDF}"/>
    <cellStyle name="Table Headers 2" xfId="32" xr:uid="{BF467177-795C-4053-BFB5-1A949F62E66E}"/>
    <cellStyle name="Title" xfId="11" builtinId="15" hidden="1"/>
    <cellStyle name="Title" xfId="14" builtinId="15" customBuiltin="1"/>
    <cellStyle name="Title 2" xfId="20" xr:uid="{A2AD2490-F615-4438-8D1B-90192832DFD8}"/>
    <cellStyle name="Total" xfId="7" builtinId="25" customBuiltin="1"/>
    <cellStyle name="Total 2" xfId="28" xr:uid="{0B04177A-0D50-4194-A21A-9320F6731AE7}"/>
    <cellStyle name="WIP" xfId="17" xr:uid="{1D06E970-B8F0-47B1-9EBE-14C748047F99}"/>
    <cellStyle name="WIP 2" xfId="33" xr:uid="{14C56A81-4480-4DB1-8ED5-5E5F1A0A4CCE}"/>
  </cellStyles>
  <dxfs count="0"/>
  <tableStyles count="1" defaultTableStyle="TableStyleMedium2" defaultPivotStyle="PivotStyleLight16">
    <tableStyle name="Invisible" pivot="0" table="0" count="0" xr9:uid="{F55EBB96-F630-48B6-B3B5-AEB5232572ED}"/>
  </tableStyles>
  <colors>
    <mruColors>
      <color rgb="FFFFFFFF"/>
      <color rgb="FF225852"/>
      <color rgb="FF52A2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fmlaLink="switch" fmlaRange="List" noThreeD="1" sel="2" val="0"/>
</file>

<file path=xl/ctrlProps/ctrlProp2.xml><?xml version="1.0" encoding="utf-8"?>
<formControlPr xmlns="http://schemas.microsoft.com/office/spreadsheetml/2009/9/main" objectType="Drop" dropStyle="combo" dx="22" fmlaLink="switch" fmlaRange="List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2</xdr:row>
      <xdr:rowOff>66674</xdr:rowOff>
    </xdr:from>
    <xdr:to>
      <xdr:col>10</xdr:col>
      <xdr:colOff>314325</xdr:colOff>
      <xdr:row>33</xdr:row>
      <xdr:rowOff>104774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1342E9-6250-178C-3FF1-ECC5B72D7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428624"/>
          <a:ext cx="5648325" cy="5648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66675</xdr:colOff>
      <xdr:row>0</xdr:row>
      <xdr:rowOff>123823</xdr:rowOff>
    </xdr:from>
    <xdr:to>
      <xdr:col>6</xdr:col>
      <xdr:colOff>504825</xdr:colOff>
      <xdr:row>22</xdr:row>
      <xdr:rowOff>47624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773357A-9DCA-EC5F-079F-496471DB8011}"/>
            </a:ext>
          </a:extLst>
        </xdr:cNvPr>
        <xdr:cNvSpPr/>
      </xdr:nvSpPr>
      <xdr:spPr>
        <a:xfrm>
          <a:off x="66675" y="123823"/>
          <a:ext cx="5010150" cy="4476751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161922</xdr:colOff>
      <xdr:row>5</xdr:row>
      <xdr:rowOff>133350</xdr:rowOff>
    </xdr:from>
    <xdr:to>
      <xdr:col>6</xdr:col>
      <xdr:colOff>400050</xdr:colOff>
      <xdr:row>11</xdr:row>
      <xdr:rowOff>342900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10B2174-4FD7-D81B-815E-221498E9CBE0}"/>
            </a:ext>
          </a:extLst>
        </xdr:cNvPr>
        <xdr:cNvSpPr/>
      </xdr:nvSpPr>
      <xdr:spPr>
        <a:xfrm>
          <a:off x="161922" y="1171575"/>
          <a:ext cx="4810128" cy="1304925"/>
        </a:xfrm>
        <a:prstGeom prst="roundRect">
          <a:avLst/>
        </a:prstGeom>
        <a:noFill/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171449</xdr:colOff>
      <xdr:row>6</xdr:row>
      <xdr:rowOff>180974</xdr:rowOff>
    </xdr:from>
    <xdr:to>
      <xdr:col>6</xdr:col>
      <xdr:colOff>352425</xdr:colOff>
      <xdr:row>11</xdr:row>
      <xdr:rowOff>419100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B6A43F1-97A1-4E8B-866B-C9F2E861CC46}"/>
            </a:ext>
          </a:extLst>
        </xdr:cNvPr>
        <xdr:cNvSpPr txBox="1"/>
      </xdr:nvSpPr>
      <xdr:spPr>
        <a:xfrm>
          <a:off x="342899" y="1400174"/>
          <a:ext cx="4581526" cy="1152526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Schoolbook" panose="02040604050505020304" pitchFamily="18" charset="0"/>
              <a:ea typeface="+mn-ea"/>
              <a:cs typeface="+mn-cs"/>
            </a:rPr>
            <a:t>Tage is a clothing brand dedicated to creating modest, classy and timeless clothing.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Schoolbook" panose="02040604050505020304" pitchFamily="18" charset="0"/>
              <a:ea typeface="+mn-ea"/>
              <a:cs typeface="+mn-cs"/>
            </a:rPr>
            <a:t>Our designs blend creativity with elegant simplicity, ensuring that each piece is stylish yet versatile.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Schoolbook" panose="02040604050505020304" pitchFamily="18" charset="0"/>
              <a:ea typeface="+mn-ea"/>
              <a:cs typeface="+mn-cs"/>
            </a:rPr>
            <a:t>We focus on quality craftsmanship, premium fabrics, and enduring designs that outlive fast fashion trends.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571500</xdr:colOff>
          <xdr:row>1</xdr:row>
          <xdr:rowOff>161925</xdr:rowOff>
        </xdr:from>
        <xdr:to>
          <xdr:col>12</xdr:col>
          <xdr:colOff>457200</xdr:colOff>
          <xdr:row>1</xdr:row>
          <xdr:rowOff>419100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8</xdr:row>
          <xdr:rowOff>104775</xdr:rowOff>
        </xdr:from>
        <xdr:to>
          <xdr:col>5</xdr:col>
          <xdr:colOff>142875</xdr:colOff>
          <xdr:row>10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8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Custom 10">
      <a:dk1>
        <a:sysClr val="windowText" lastClr="000000"/>
      </a:dk1>
      <a:lt1>
        <a:srgbClr val="1C4435"/>
      </a:lt1>
      <a:dk2>
        <a:srgbClr val="23728B"/>
      </a:dk2>
      <a:lt2>
        <a:srgbClr val="A61624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4" Type="http://schemas.openxmlformats.org/officeDocument/2006/relationships/ctrlProp" Target="../ctrlProps/ctrlProp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2605-16A4-41BC-A6D9-A66363AADE30}">
  <dimension ref="A1"/>
  <sheetViews>
    <sheetView tabSelected="1" workbookViewId="0">
      <selection activeCell="J18" sqref="J18"/>
    </sheetView>
  </sheetViews>
  <sheetFormatPr defaultRowHeight="14.25" x14ac:dyDescent="0.2"/>
  <cols>
    <col min="1" max="16384" width="9" style="67"/>
  </cols>
  <sheetData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6AB2-46E9-40C9-ACF9-D9CE26CCA23C}">
  <sheetPr>
    <pageSetUpPr fitToPage="1"/>
  </sheetPr>
  <dimension ref="A1:G24"/>
  <sheetViews>
    <sheetView showGridLines="0" tabSelected="1" topLeftCell="A2" workbookViewId="0">
      <selection activeCell="J18" sqref="J18"/>
    </sheetView>
  </sheetViews>
  <sheetFormatPr defaultColWidth="0" defaultRowHeight="14.25" zeroHeight="1" x14ac:dyDescent="0.2"/>
  <cols>
    <col min="1" max="3" width="2.25" customWidth="1"/>
    <col min="4" max="4" width="25.75" customWidth="1"/>
    <col min="5" max="5" width="18.5" customWidth="1"/>
    <col min="6" max="7" width="9" customWidth="1"/>
    <col min="8" max="16384" width="8" hidden="1"/>
  </cols>
  <sheetData>
    <row r="1" spans="2:5" x14ac:dyDescent="0.2"/>
    <row r="2" spans="2:5" x14ac:dyDescent="0.2"/>
    <row r="3" spans="2:5" ht="23.25" x14ac:dyDescent="0.35">
      <c r="C3" s="41" t="s">
        <v>1</v>
      </c>
      <c r="E3" t="s">
        <v>61</v>
      </c>
    </row>
    <row r="4" spans="2:5" ht="15" x14ac:dyDescent="0.25">
      <c r="C4" s="42" t="s">
        <v>14</v>
      </c>
      <c r="E4" t="str">
        <f>Industry</f>
        <v>Fashion</v>
      </c>
    </row>
    <row r="5" spans="2:5" ht="15" x14ac:dyDescent="0.25">
      <c r="C5" s="43" t="s">
        <v>2</v>
      </c>
      <c r="E5" t="str">
        <f>Business_Location</f>
        <v>Nigeria</v>
      </c>
    </row>
    <row r="6" spans="2:5" x14ac:dyDescent="0.2"/>
    <row r="7" spans="2:5" ht="15" x14ac:dyDescent="0.25">
      <c r="C7" s="44" t="s">
        <v>13</v>
      </c>
    </row>
    <row r="8" spans="2:5" x14ac:dyDescent="0.2"/>
    <row r="9" spans="2:5" x14ac:dyDescent="0.2"/>
    <row r="10" spans="2:5" x14ac:dyDescent="0.2"/>
    <row r="11" spans="2:5" x14ac:dyDescent="0.2"/>
    <row r="12" spans="2:5" ht="46.5" customHeight="1" x14ac:dyDescent="0.25">
      <c r="B12" s="43" t="s">
        <v>3</v>
      </c>
    </row>
    <row r="13" spans="2:5" ht="15" x14ac:dyDescent="0.25">
      <c r="C13" s="42" t="s">
        <v>4</v>
      </c>
    </row>
    <row r="14" spans="2:5" x14ac:dyDescent="0.2">
      <c r="D14" t="s">
        <v>5</v>
      </c>
    </row>
    <row r="15" spans="2:5" x14ac:dyDescent="0.2">
      <c r="D15" t="s">
        <v>6</v>
      </c>
    </row>
    <row r="16" spans="2:5" x14ac:dyDescent="0.2"/>
    <row r="17" spans="3:4" ht="15" x14ac:dyDescent="0.25">
      <c r="C17" s="42" t="s">
        <v>7</v>
      </c>
    </row>
    <row r="18" spans="3:4" x14ac:dyDescent="0.2">
      <c r="D18" t="s">
        <v>8</v>
      </c>
    </row>
    <row r="19" spans="3:4" x14ac:dyDescent="0.2">
      <c r="D19" t="s">
        <v>9</v>
      </c>
    </row>
    <row r="20" spans="3:4" x14ac:dyDescent="0.2">
      <c r="D20" t="s">
        <v>10</v>
      </c>
    </row>
    <row r="21" spans="3:4" x14ac:dyDescent="0.2">
      <c r="D21" t="s">
        <v>11</v>
      </c>
    </row>
    <row r="22" spans="3:4" x14ac:dyDescent="0.2">
      <c r="D22" t="s">
        <v>12</v>
      </c>
    </row>
    <row r="23" spans="3:4" x14ac:dyDescent="0.2"/>
    <row r="24" spans="3:4" x14ac:dyDescent="0.2"/>
  </sheetData>
  <pageMargins left="0.70866141732283472" right="0.70866141732283472" top="0.74803149606299213" bottom="0.74803149606299213" header="0.31496062992125984" footer="0.31496062992125984"/>
  <pageSetup fitToHeight="0" orientation="landscape" r:id="rId1"/>
  <headerFooter>
    <oddFooter>&amp;L&amp;D&amp;COluwatimilehin Fafiola&amp;R&amp;P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4963-00CC-4A7E-BC10-2FBCF0BFD884}">
  <sheetPr>
    <pageSetUpPr fitToPage="1"/>
  </sheetPr>
  <dimension ref="A1:M86"/>
  <sheetViews>
    <sheetView showGridLines="0" tabSelected="1" topLeftCell="A30" workbookViewId="0">
      <selection activeCell="J18" sqref="J18"/>
    </sheetView>
  </sheetViews>
  <sheetFormatPr defaultColWidth="0" defaultRowHeight="14.25" x14ac:dyDescent="0.2"/>
  <cols>
    <col min="1" max="1" width="3.25" customWidth="1"/>
    <col min="2" max="3" width="3.625" customWidth="1"/>
    <col min="4" max="4" width="37.75" customWidth="1"/>
    <col min="5" max="5" width="42.375" customWidth="1"/>
    <col min="6" max="6" width="9" customWidth="1"/>
    <col min="7" max="7" width="9.5" hidden="1" customWidth="1"/>
    <col min="8" max="13" width="0" hidden="1" customWidth="1"/>
    <col min="14" max="16384" width="9" hidden="1"/>
  </cols>
  <sheetData>
    <row r="1" spans="2:13" ht="38.25" x14ac:dyDescent="0.7">
      <c r="B1" s="15" t="s">
        <v>61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2:13" ht="27.75" x14ac:dyDescent="0.5">
      <c r="B2" s="16" t="s">
        <v>68</v>
      </c>
    </row>
    <row r="3" spans="2:13" ht="10.5" customHeight="1" x14ac:dyDescent="0.2"/>
    <row r="4" spans="2:13" ht="9" customHeight="1" x14ac:dyDescent="0.2"/>
    <row r="6" spans="2:13" ht="20.25" thickBot="1" x14ac:dyDescent="0.35">
      <c r="B6" s="2" t="s">
        <v>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3" ht="12" customHeight="1" thickTop="1" x14ac:dyDescent="0.2"/>
    <row r="8" spans="2:13" ht="15.75" thickBot="1" x14ac:dyDescent="0.3">
      <c r="C8" s="5" t="s">
        <v>16</v>
      </c>
      <c r="D8" s="5"/>
      <c r="E8" s="5"/>
      <c r="F8" s="5"/>
      <c r="G8" s="5"/>
      <c r="H8" s="5"/>
      <c r="I8" s="5"/>
      <c r="J8" s="5"/>
      <c r="K8" s="5"/>
      <c r="L8" s="5"/>
      <c r="M8" s="5"/>
    </row>
    <row r="9" spans="2:13" x14ac:dyDescent="0.2">
      <c r="D9" t="s">
        <v>0</v>
      </c>
      <c r="E9" s="19" t="s">
        <v>59</v>
      </c>
    </row>
    <row r="10" spans="2:13" x14ac:dyDescent="0.2">
      <c r="D10" t="s">
        <v>226</v>
      </c>
      <c r="E10" s="19" t="s">
        <v>39</v>
      </c>
    </row>
    <row r="11" spans="2:13" x14ac:dyDescent="0.2">
      <c r="D11" t="s">
        <v>17</v>
      </c>
      <c r="E11" s="19" t="s">
        <v>60</v>
      </c>
    </row>
    <row r="12" spans="2:13" x14ac:dyDescent="0.2">
      <c r="D12" t="s">
        <v>18</v>
      </c>
      <c r="E12" s="19" t="s">
        <v>38</v>
      </c>
    </row>
    <row r="14" spans="2:13" ht="20.25" thickBot="1" x14ac:dyDescent="0.35">
      <c r="B14" s="2" t="s">
        <v>62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2:13" ht="15" thickTop="1" x14ac:dyDescent="0.2">
      <c r="D15" t="s">
        <v>19</v>
      </c>
      <c r="E15" s="19" t="s">
        <v>225</v>
      </c>
    </row>
    <row r="16" spans="2:13" ht="15" x14ac:dyDescent="0.25">
      <c r="D16" t="s">
        <v>20</v>
      </c>
      <c r="E16" s="19" t="s">
        <v>83</v>
      </c>
    </row>
    <row r="17" spans="2:13" x14ac:dyDescent="0.2">
      <c r="D17" t="s">
        <v>63</v>
      </c>
      <c r="E17" s="19" t="s">
        <v>81</v>
      </c>
    </row>
    <row r="18" spans="2:13" x14ac:dyDescent="0.2">
      <c r="D18" t="s">
        <v>64</v>
      </c>
      <c r="E18" s="20" t="s">
        <v>82</v>
      </c>
    </row>
    <row r="19" spans="2:13" ht="9" customHeight="1" x14ac:dyDescent="0.2"/>
    <row r="20" spans="2:13" ht="20.25" thickBot="1" x14ac:dyDescent="0.35">
      <c r="B20" s="2" t="s">
        <v>65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ht="16.5" thickTop="1" thickBot="1" x14ac:dyDescent="0.3">
      <c r="C21" s="27" t="s">
        <v>66</v>
      </c>
      <c r="D21" s="27"/>
      <c r="E21" s="27"/>
      <c r="F21" s="27"/>
    </row>
    <row r="22" spans="2:13" x14ac:dyDescent="0.2">
      <c r="D22" s="26" t="s">
        <v>67</v>
      </c>
    </row>
    <row r="23" spans="2:13" x14ac:dyDescent="0.2">
      <c r="D23" s="26" t="s">
        <v>68</v>
      </c>
    </row>
    <row r="24" spans="2:13" x14ac:dyDescent="0.2">
      <c r="D24" s="26" t="s">
        <v>69</v>
      </c>
    </row>
    <row r="25" spans="2:13" x14ac:dyDescent="0.2">
      <c r="D25" s="26" t="s">
        <v>70</v>
      </c>
    </row>
    <row r="26" spans="2:13" x14ac:dyDescent="0.2">
      <c r="D26" s="26" t="s">
        <v>71</v>
      </c>
    </row>
    <row r="27" spans="2:13" x14ac:dyDescent="0.2">
      <c r="D27" s="26" t="s">
        <v>9</v>
      </c>
    </row>
    <row r="28" spans="2:13" x14ac:dyDescent="0.2">
      <c r="D28" s="26" t="s">
        <v>72</v>
      </c>
    </row>
    <row r="29" spans="2:13" x14ac:dyDescent="0.2">
      <c r="D29" s="26" t="s">
        <v>11</v>
      </c>
    </row>
    <row r="30" spans="2:13" x14ac:dyDescent="0.2">
      <c r="D30" s="26" t="s">
        <v>73</v>
      </c>
    </row>
    <row r="31" spans="2:13" ht="11.25" customHeight="1" x14ac:dyDescent="0.2"/>
    <row r="32" spans="2:13" ht="22.5" customHeight="1" thickBot="1" x14ac:dyDescent="0.3">
      <c r="C32" s="5" t="s">
        <v>21</v>
      </c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3:13" x14ac:dyDescent="0.2">
      <c r="D33" t="s">
        <v>22</v>
      </c>
      <c r="E33" s="6">
        <v>12</v>
      </c>
    </row>
    <row r="34" spans="3:13" x14ac:dyDescent="0.2">
      <c r="D34" t="s">
        <v>23</v>
      </c>
      <c r="E34" s="7">
        <v>365</v>
      </c>
    </row>
    <row r="35" spans="3:13" x14ac:dyDescent="0.2">
      <c r="D35" t="s">
        <v>26</v>
      </c>
      <c r="E35" s="1">
        <v>45658</v>
      </c>
    </row>
    <row r="36" spans="3:13" x14ac:dyDescent="0.2">
      <c r="D36" t="s">
        <v>25</v>
      </c>
      <c r="E36" s="8">
        <v>5</v>
      </c>
    </row>
    <row r="37" spans="3:13" x14ac:dyDescent="0.2">
      <c r="D37" t="s">
        <v>24</v>
      </c>
      <c r="E37" s="1">
        <f>EDATE(E35-1,(E33*E36))</f>
        <v>47483</v>
      </c>
    </row>
    <row r="39" spans="3:13" ht="20.25" thickBot="1" x14ac:dyDescent="0.35">
      <c r="C39" s="2" t="s">
        <v>27</v>
      </c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15" thickTop="1" x14ac:dyDescent="0.2">
      <c r="D40" t="s">
        <v>78</v>
      </c>
      <c r="E40">
        <v>1234</v>
      </c>
    </row>
    <row r="41" spans="3:13" ht="15.75" thickBot="1" x14ac:dyDescent="0.3">
      <c r="D41" t="s">
        <v>28</v>
      </c>
      <c r="E41" s="10">
        <v>12345</v>
      </c>
      <c r="F41" s="4"/>
    </row>
    <row r="42" spans="3:13" ht="15" thickBot="1" x14ac:dyDescent="0.25">
      <c r="D42" t="s">
        <v>29</v>
      </c>
      <c r="E42" s="11">
        <v>12345</v>
      </c>
    </row>
    <row r="43" spans="3:13" x14ac:dyDescent="0.2">
      <c r="D43" t="s">
        <v>30</v>
      </c>
      <c r="E43" s="37">
        <v>12345</v>
      </c>
    </row>
    <row r="44" spans="3:13" x14ac:dyDescent="0.2">
      <c r="D44" t="s">
        <v>237</v>
      </c>
      <c r="E44" s="54">
        <v>1000</v>
      </c>
    </row>
    <row r="45" spans="3:13" x14ac:dyDescent="0.2">
      <c r="D45" t="s">
        <v>31</v>
      </c>
      <c r="E45" s="9">
        <v>0.3</v>
      </c>
    </row>
    <row r="46" spans="3:13" ht="13.5" customHeight="1" x14ac:dyDescent="0.2">
      <c r="E46" s="13">
        <v>30</v>
      </c>
    </row>
    <row r="47" spans="3:13" ht="15.75" thickBot="1" x14ac:dyDescent="0.3">
      <c r="D47" t="s">
        <v>32</v>
      </c>
      <c r="E47" s="12">
        <v>12345</v>
      </c>
    </row>
    <row r="48" spans="3:13" ht="15" thickTop="1" x14ac:dyDescent="0.2">
      <c r="D48" t="s">
        <v>33</v>
      </c>
      <c r="E48">
        <v>12345</v>
      </c>
    </row>
    <row r="49" spans="3:13" ht="30.75" customHeight="1" x14ac:dyDescent="0.7">
      <c r="D49" t="s">
        <v>74</v>
      </c>
      <c r="E49" s="14" t="s">
        <v>76</v>
      </c>
    </row>
    <row r="50" spans="3:13" ht="22.5" customHeight="1" x14ac:dyDescent="0.5">
      <c r="D50" t="s">
        <v>75</v>
      </c>
      <c r="E50" s="16" t="s">
        <v>77</v>
      </c>
    </row>
    <row r="51" spans="3:13" ht="20.25" thickBot="1" x14ac:dyDescent="0.35">
      <c r="D51" t="s">
        <v>34</v>
      </c>
      <c r="E51" s="2" t="s">
        <v>34</v>
      </c>
    </row>
    <row r="52" spans="3:13" ht="18" thickTop="1" thickBot="1" x14ac:dyDescent="0.3">
      <c r="D52" t="s">
        <v>35</v>
      </c>
      <c r="E52" s="3" t="s">
        <v>35</v>
      </c>
    </row>
    <row r="53" spans="3:13" ht="16.5" thickTop="1" thickBot="1" x14ac:dyDescent="0.3">
      <c r="D53" t="s">
        <v>37</v>
      </c>
      <c r="E53" s="5" t="s">
        <v>37</v>
      </c>
    </row>
    <row r="54" spans="3:13" x14ac:dyDescent="0.2">
      <c r="D54" t="s">
        <v>79</v>
      </c>
      <c r="E54" s="17" t="s">
        <v>79</v>
      </c>
    </row>
    <row r="55" spans="3:13" x14ac:dyDescent="0.2">
      <c r="D55" t="s">
        <v>80</v>
      </c>
      <c r="E55" s="18" t="s">
        <v>80</v>
      </c>
    </row>
    <row r="56" spans="3:13" ht="15" x14ac:dyDescent="0.25">
      <c r="D56" t="s">
        <v>36</v>
      </c>
      <c r="E56" s="4" t="s">
        <v>36</v>
      </c>
    </row>
    <row r="57" spans="3:13" ht="6.75" customHeight="1" x14ac:dyDescent="0.2"/>
    <row r="58" spans="3:13" ht="6.75" customHeight="1" x14ac:dyDescent="0.2"/>
    <row r="59" spans="3:13" ht="20.25" thickBot="1" x14ac:dyDescent="0.35">
      <c r="C59" s="2" t="s">
        <v>40</v>
      </c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ht="16.5" thickTop="1" thickBot="1" x14ac:dyDescent="0.3">
      <c r="D60" s="5" t="s">
        <v>41</v>
      </c>
      <c r="E60" s="5"/>
      <c r="F60" s="5"/>
      <c r="G60" s="5"/>
      <c r="H60" s="5"/>
      <c r="I60" s="5"/>
      <c r="J60" s="5"/>
      <c r="K60" s="5"/>
      <c r="L60" s="5"/>
      <c r="M60" s="5"/>
    </row>
    <row r="61" spans="3:13" x14ac:dyDescent="0.2">
      <c r="D61" s="17" t="s">
        <v>96</v>
      </c>
      <c r="E61" s="17" t="s">
        <v>97</v>
      </c>
    </row>
    <row r="62" spans="3:13" x14ac:dyDescent="0.2">
      <c r="D62" t="s">
        <v>95</v>
      </c>
      <c r="E62" t="s">
        <v>98</v>
      </c>
    </row>
    <row r="63" spans="3:13" x14ac:dyDescent="0.2">
      <c r="D63" t="s">
        <v>99</v>
      </c>
      <c r="E63" t="s">
        <v>100</v>
      </c>
    </row>
    <row r="64" spans="3:13" x14ac:dyDescent="0.2">
      <c r="D64" t="s">
        <v>101</v>
      </c>
      <c r="E64" t="s">
        <v>6</v>
      </c>
    </row>
    <row r="65" spans="3:13" x14ac:dyDescent="0.2">
      <c r="D65" t="s">
        <v>44</v>
      </c>
      <c r="E65" t="s">
        <v>71</v>
      </c>
    </row>
    <row r="66" spans="3:13" x14ac:dyDescent="0.2">
      <c r="D66" t="s">
        <v>45</v>
      </c>
      <c r="E66" t="s">
        <v>102</v>
      </c>
    </row>
    <row r="67" spans="3:13" x14ac:dyDescent="0.2">
      <c r="D67" t="s">
        <v>103</v>
      </c>
      <c r="E67" t="s">
        <v>104</v>
      </c>
    </row>
    <row r="68" spans="3:13" x14ac:dyDescent="0.2">
      <c r="D68" t="s">
        <v>105</v>
      </c>
      <c r="E68" t="s">
        <v>106</v>
      </c>
    </row>
    <row r="69" spans="3:13" x14ac:dyDescent="0.2">
      <c r="D69" t="s">
        <v>42</v>
      </c>
      <c r="E69" t="s">
        <v>107</v>
      </c>
    </row>
    <row r="70" spans="3:13" x14ac:dyDescent="0.2">
      <c r="D70" t="s">
        <v>43</v>
      </c>
      <c r="E70" t="s">
        <v>108</v>
      </c>
    </row>
    <row r="71" spans="3:13" x14ac:dyDescent="0.2">
      <c r="D71" t="s">
        <v>109</v>
      </c>
      <c r="E71" t="s">
        <v>110</v>
      </c>
    </row>
    <row r="72" spans="3:13" x14ac:dyDescent="0.2">
      <c r="D72" t="s">
        <v>111</v>
      </c>
      <c r="E72" t="s">
        <v>112</v>
      </c>
    </row>
    <row r="73" spans="3:13" ht="3.75" customHeight="1" x14ac:dyDescent="0.2"/>
    <row r="74" spans="3:13" ht="20.25" thickBot="1" x14ac:dyDescent="0.35">
      <c r="C74" s="2" t="s">
        <v>46</v>
      </c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ht="15" thickTop="1" x14ac:dyDescent="0.2">
      <c r="D75" t="s">
        <v>47</v>
      </c>
      <c r="E75">
        <v>1</v>
      </c>
    </row>
    <row r="76" spans="3:13" x14ac:dyDescent="0.2">
      <c r="D76" t="s">
        <v>48</v>
      </c>
      <c r="E76">
        <v>2</v>
      </c>
    </row>
    <row r="77" spans="3:13" x14ac:dyDescent="0.2">
      <c r="D77" t="s">
        <v>49</v>
      </c>
      <c r="E77">
        <v>3</v>
      </c>
    </row>
    <row r="78" spans="3:13" x14ac:dyDescent="0.2">
      <c r="D78" t="s">
        <v>50</v>
      </c>
      <c r="E78">
        <v>4</v>
      </c>
    </row>
    <row r="79" spans="3:13" x14ac:dyDescent="0.2">
      <c r="D79" t="s">
        <v>51</v>
      </c>
      <c r="E79">
        <v>5</v>
      </c>
    </row>
    <row r="80" spans="3:13" x14ac:dyDescent="0.2">
      <c r="D80" t="s">
        <v>52</v>
      </c>
      <c r="E80">
        <v>6</v>
      </c>
    </row>
    <row r="81" spans="4:5" x14ac:dyDescent="0.2">
      <c r="D81" t="s">
        <v>53</v>
      </c>
      <c r="E81">
        <v>7</v>
      </c>
    </row>
    <row r="82" spans="4:5" x14ac:dyDescent="0.2">
      <c r="D82" t="s">
        <v>54</v>
      </c>
      <c r="E82">
        <v>8</v>
      </c>
    </row>
    <row r="83" spans="4:5" x14ac:dyDescent="0.2">
      <c r="D83" t="s">
        <v>55</v>
      </c>
      <c r="E83">
        <v>9</v>
      </c>
    </row>
    <row r="84" spans="4:5" x14ac:dyDescent="0.2">
      <c r="D84" t="s">
        <v>56</v>
      </c>
      <c r="E84">
        <v>10</v>
      </c>
    </row>
    <row r="85" spans="4:5" x14ac:dyDescent="0.2">
      <c r="D85" t="s">
        <v>57</v>
      </c>
      <c r="E85">
        <v>11</v>
      </c>
    </row>
    <row r="86" spans="4:5" x14ac:dyDescent="0.2">
      <c r="D86" t="s">
        <v>58</v>
      </c>
      <c r="E86">
        <v>12</v>
      </c>
    </row>
  </sheetData>
  <dataConsolidate/>
  <phoneticPr fontId="3" type="noConversion"/>
  <hyperlinks>
    <hyperlink ref="D22" location="'Cover Page'!A1" tooltip="Go to Cover Page Sheet" display="Cover Page " xr:uid="{F3AA8BC1-FAE2-4E08-9003-CBDA026DC2FB}"/>
    <hyperlink ref="D23" location="'Model Guide'!A1" tooltip="Go to Model Guide Sheet" display="Guide" xr:uid="{CDF65423-920E-4F41-8F10-04B872422821}"/>
    <hyperlink ref="D24" location="Input!A1" tooltip="Go to Input Sheet" display="Input " xr:uid="{6A83416A-634C-4496-9590-06B2F33DE755}"/>
    <hyperlink ref="D25" location="Cal!A1" tooltip="Go to Cal Sheet" display="Calculator" xr:uid="{56B23DFC-B5FD-4C15-BBAA-C5D19BC504F9}"/>
    <hyperlink ref="D26" location="IS!A1" tooltip="Go to IS Sheet" display="Income Statement" xr:uid="{F855302B-F48C-4114-A637-9511E4C28B12}"/>
    <hyperlink ref="D27" location="BS!A1" tooltip="Go to BS Sheet" display="Balance Sheet" xr:uid="{8A5EB39D-4E44-4990-8250-74F6E8629343}"/>
    <hyperlink ref="D28" location="CF!A1" tooltip="Go to CF Sheet" display="Cash Flow Satement " xr:uid="{03589B58-60AC-43BC-ABB7-5DC762A19134}"/>
    <hyperlink ref="D29" location="'Model Guide'!A1" tooltip="Go to Analysis Sheet" display="Analysis" xr:uid="{202710F4-3BFA-4A70-BC93-874E49CC4E90}"/>
    <hyperlink ref="D30" location="Valuation!A1" tooltip="Go to Valuation Sheet" display="Valuation" xr:uid="{D72AAC8B-0BED-4792-844E-CD9DCC008883}"/>
  </hyperlinks>
  <pageMargins left="0.70866141732283472" right="0.70866141732283472" top="0.74803149606299213" bottom="0.74803149606299213" header="0.31496062992125984" footer="0.31496062992125984"/>
  <pageSetup fitToHeight="0" orientation="landscape" r:id="rId1"/>
  <headerFooter>
    <oddFooter>&amp;L&amp;D&amp;COluwatimilehin Fafiola&amp;R&amp;P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E195-0F73-40CF-8FE5-862DD3D56862}">
  <sheetPr>
    <tabColor theme="0" tint="9.9978637043366805E-2"/>
    <pageSetUpPr fitToPage="1"/>
  </sheetPr>
  <dimension ref="A2:O111"/>
  <sheetViews>
    <sheetView showGridLines="0" tabSelected="1" workbookViewId="0">
      <pane xSplit="4" ySplit="8" topLeftCell="F23" activePane="bottomRight" state="frozen"/>
      <selection activeCell="J18" sqref="J18"/>
      <selection pane="topRight" activeCell="J18" sqref="J18"/>
      <selection pane="bottomLeft" activeCell="J18" sqref="J18"/>
      <selection pane="bottomRight" activeCell="J18" sqref="J18"/>
    </sheetView>
  </sheetViews>
  <sheetFormatPr defaultColWidth="0" defaultRowHeight="14.25" x14ac:dyDescent="0.2"/>
  <cols>
    <col min="1" max="3" width="3.375" customWidth="1"/>
    <col min="4" max="4" width="33.125" customWidth="1"/>
    <col min="5" max="5" width="11.875" customWidth="1"/>
    <col min="6" max="6" width="11.375" customWidth="1"/>
    <col min="7" max="8" width="9" customWidth="1"/>
    <col min="9" max="14" width="13.375" customWidth="1"/>
    <col min="15" max="15" width="9" customWidth="1"/>
    <col min="16" max="16384" width="9" hidden="1"/>
  </cols>
  <sheetData>
    <row r="2" spans="2:14" ht="38.25" x14ac:dyDescent="0.7">
      <c r="B2" s="15" t="str">
        <f>Company_Name</f>
        <v xml:space="preserve">Tage Corp 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25" t="s">
        <v>94</v>
      </c>
    </row>
    <row r="3" spans="2:14" ht="27.75" x14ac:dyDescent="0.5">
      <c r="B3" s="16"/>
      <c r="C3" s="16" t="str">
        <f>'Model Guide'!D24</f>
        <v xml:space="preserve">Input 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14" x14ac:dyDescent="0.2">
      <c r="D4" t="s">
        <v>89</v>
      </c>
    </row>
    <row r="5" spans="2:14" ht="15" x14ac:dyDescent="0.25">
      <c r="D5" t="s">
        <v>92</v>
      </c>
      <c r="H5" s="24" t="s">
        <v>84</v>
      </c>
      <c r="I5" s="22"/>
      <c r="J5" s="23">
        <f>I6+Ctrl_1</f>
        <v>45658</v>
      </c>
      <c r="K5" s="23">
        <f>J6+Ctrl_1</f>
        <v>46023</v>
      </c>
      <c r="L5" s="23">
        <f>K6+Ctrl_1</f>
        <v>46388</v>
      </c>
      <c r="M5" s="23">
        <f>L6+Ctrl_1</f>
        <v>46753</v>
      </c>
      <c r="N5" s="23">
        <f>M6+Ctrl_1</f>
        <v>47119</v>
      </c>
    </row>
    <row r="6" spans="2:14" ht="15" x14ac:dyDescent="0.25">
      <c r="H6" s="24" t="s">
        <v>85</v>
      </c>
      <c r="I6" s="23">
        <f>EOMONTH(J6,- Ctrl_12)</f>
        <v>45657</v>
      </c>
      <c r="J6" s="23">
        <f>EOMONTH(K6,- Ctrl_12)</f>
        <v>46022</v>
      </c>
      <c r="K6" s="23">
        <f>EOMONTH(L6,- Ctrl_12)</f>
        <v>46387</v>
      </c>
      <c r="L6" s="23">
        <f>EOMONTH(M6,- Ctrl_12)</f>
        <v>46752</v>
      </c>
      <c r="M6" s="23">
        <f>EOMONTH(N6,- Ctrl_12)</f>
        <v>47118</v>
      </c>
      <c r="N6" s="23">
        <f>Model_Period_End</f>
        <v>47483</v>
      </c>
    </row>
    <row r="7" spans="2:14" ht="15" x14ac:dyDescent="0.25">
      <c r="H7" s="24" t="s">
        <v>86</v>
      </c>
      <c r="I7" s="21">
        <f>YEAR(I6)</f>
        <v>2024</v>
      </c>
      <c r="J7" s="21">
        <f t="shared" ref="J7:N7" si="0">YEAR(J6)</f>
        <v>2025</v>
      </c>
      <c r="K7" s="21">
        <f t="shared" si="0"/>
        <v>2026</v>
      </c>
      <c r="L7" s="21">
        <f t="shared" si="0"/>
        <v>2027</v>
      </c>
      <c r="M7" s="21">
        <f t="shared" si="0"/>
        <v>2028</v>
      </c>
      <c r="N7" s="21">
        <f t="shared" si="0"/>
        <v>2029</v>
      </c>
    </row>
    <row r="8" spans="2:14" ht="15" x14ac:dyDescent="0.25">
      <c r="D8" s="24" t="s">
        <v>91</v>
      </c>
      <c r="E8" s="24" t="s">
        <v>170</v>
      </c>
      <c r="F8" s="24" t="s">
        <v>171</v>
      </c>
      <c r="H8" s="24" t="s">
        <v>87</v>
      </c>
      <c r="I8" s="24" t="s">
        <v>90</v>
      </c>
      <c r="J8" s="24" t="s">
        <v>90</v>
      </c>
      <c r="K8" s="24" t="s">
        <v>90</v>
      </c>
      <c r="L8" s="24" t="s">
        <v>90</v>
      </c>
      <c r="M8" s="24" t="s">
        <v>90</v>
      </c>
      <c r="N8" s="24" t="s">
        <v>90</v>
      </c>
    </row>
    <row r="9" spans="2:14" x14ac:dyDescent="0.2">
      <c r="F9" t="s">
        <v>93</v>
      </c>
      <c r="I9">
        <f t="shared" ref="I9:N9" si="1">I7-$I$7</f>
        <v>0</v>
      </c>
      <c r="J9">
        <f t="shared" si="1"/>
        <v>1</v>
      </c>
      <c r="K9">
        <f t="shared" si="1"/>
        <v>2</v>
      </c>
      <c r="L9">
        <f t="shared" si="1"/>
        <v>3</v>
      </c>
      <c r="M9">
        <f t="shared" si="1"/>
        <v>4</v>
      </c>
      <c r="N9">
        <f t="shared" si="1"/>
        <v>5</v>
      </c>
    </row>
    <row r="11" spans="2:14" ht="20.25" thickBot="1" x14ac:dyDescent="0.35">
      <c r="B11" s="28" t="s">
        <v>113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2:14" ht="16.5" thickTop="1" thickBot="1" x14ac:dyDescent="0.3">
      <c r="C12" s="27" t="s">
        <v>114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</row>
    <row r="13" spans="2:14" ht="15" x14ac:dyDescent="0.25">
      <c r="D13" s="29" t="s">
        <v>115</v>
      </c>
    </row>
    <row r="14" spans="2:14" x14ac:dyDescent="0.2">
      <c r="D14" t="s">
        <v>116</v>
      </c>
      <c r="J14">
        <f>I14+1</f>
        <v>1</v>
      </c>
      <c r="K14">
        <f t="shared" ref="K14:N14" si="2">J14+1</f>
        <v>2</v>
      </c>
      <c r="L14">
        <f t="shared" si="2"/>
        <v>3</v>
      </c>
      <c r="M14">
        <f t="shared" si="2"/>
        <v>4</v>
      </c>
      <c r="N14">
        <f t="shared" si="2"/>
        <v>5</v>
      </c>
    </row>
    <row r="16" spans="2:14" ht="15" x14ac:dyDescent="0.25">
      <c r="D16" s="29" t="s">
        <v>117</v>
      </c>
    </row>
    <row r="17" spans="4:14" ht="15" x14ac:dyDescent="0.25">
      <c r="D17" t="s">
        <v>118</v>
      </c>
      <c r="E17" t="s">
        <v>172</v>
      </c>
      <c r="G17" s="24" t="s">
        <v>302</v>
      </c>
      <c r="H17" s="24"/>
      <c r="I17" s="24"/>
      <c r="J17" s="46">
        <f>Scenerio!J16</f>
        <v>0.30030000000000001</v>
      </c>
      <c r="K17" s="46">
        <f>Scenerio!K16</f>
        <v>0.25030000000000002</v>
      </c>
      <c r="L17" s="46">
        <f>Scenerio!L16</f>
        <v>0.2</v>
      </c>
      <c r="M17" s="46">
        <f>Scenerio!M16</f>
        <v>0.1</v>
      </c>
      <c r="N17" s="46">
        <f>Scenerio!N16</f>
        <v>0.1</v>
      </c>
    </row>
    <row r="18" spans="4:14" x14ac:dyDescent="0.2">
      <c r="D18" t="s">
        <v>119</v>
      </c>
      <c r="G18" s="13"/>
      <c r="J18" s="13">
        <f>(1+J17)^(J14-1)</f>
        <v>1</v>
      </c>
      <c r="K18" s="13">
        <f t="shared" ref="K18:N18" si="3">(1+K17)^(K14-1)</f>
        <v>1.2503</v>
      </c>
      <c r="L18" s="13">
        <f t="shared" si="3"/>
        <v>1.44</v>
      </c>
      <c r="M18" s="13">
        <f t="shared" si="3"/>
        <v>1.3310000000000004</v>
      </c>
      <c r="N18" s="13">
        <f t="shared" si="3"/>
        <v>1.4641000000000004</v>
      </c>
    </row>
    <row r="20" spans="4:14" ht="15" x14ac:dyDescent="0.25">
      <c r="D20" s="29" t="s">
        <v>120</v>
      </c>
    </row>
    <row r="21" spans="4:14" x14ac:dyDescent="0.2">
      <c r="D21" t="s">
        <v>121</v>
      </c>
      <c r="E21" t="s">
        <v>172</v>
      </c>
      <c r="J21" s="34">
        <v>1.2E-2</v>
      </c>
      <c r="K21" s="34">
        <v>1.7000000000000001E-2</v>
      </c>
      <c r="L21" s="34">
        <v>1.7999999999999999E-2</v>
      </c>
      <c r="M21" s="34">
        <v>0.02</v>
      </c>
      <c r="N21" s="34">
        <v>0.02</v>
      </c>
    </row>
    <row r="22" spans="4:14" x14ac:dyDescent="0.2">
      <c r="D22" t="s">
        <v>122</v>
      </c>
      <c r="J22" s="13">
        <f>(1+J21)^(J14-1)</f>
        <v>1</v>
      </c>
      <c r="K22" s="13">
        <f t="shared" ref="K22:N22" si="4">(1+K21)^(K14-1)</f>
        <v>1.0169999999999999</v>
      </c>
      <c r="L22" s="13">
        <f t="shared" si="4"/>
        <v>1.036324</v>
      </c>
      <c r="M22" s="13">
        <f t="shared" si="4"/>
        <v>1.0612079999999999</v>
      </c>
      <c r="N22" s="13">
        <f t="shared" si="4"/>
        <v>1.08243216</v>
      </c>
    </row>
    <row r="24" spans="4:14" ht="15" x14ac:dyDescent="0.25">
      <c r="D24" s="29" t="s">
        <v>123</v>
      </c>
    </row>
    <row r="25" spans="4:14" ht="15" x14ac:dyDescent="0.25">
      <c r="D25" t="s">
        <v>124</v>
      </c>
      <c r="E25" t="s">
        <v>172</v>
      </c>
      <c r="G25" s="24" t="s">
        <v>302</v>
      </c>
      <c r="H25" s="24"/>
      <c r="I25" s="24"/>
      <c r="J25" s="46">
        <f>Scenerio!J22</f>
        <v>7.1300000000000002E-2</v>
      </c>
      <c r="K25" s="46">
        <f>Scenerio!K22</f>
        <v>7.1300000000000002E-2</v>
      </c>
      <c r="L25" s="46">
        <f>Scenerio!L22</f>
        <v>7.1300000000000002E-2</v>
      </c>
      <c r="M25" s="46">
        <f>Scenerio!M22</f>
        <v>7.1300000000000002E-2</v>
      </c>
      <c r="N25" s="46">
        <f>Scenerio!N22</f>
        <v>7.1300000000000002E-2</v>
      </c>
    </row>
    <row r="27" spans="4:14" ht="15" x14ac:dyDescent="0.25">
      <c r="D27" s="29" t="s">
        <v>125</v>
      </c>
    </row>
    <row r="28" spans="4:14" x14ac:dyDescent="0.2">
      <c r="D28" t="s">
        <v>126</v>
      </c>
      <c r="E28" t="s">
        <v>172</v>
      </c>
      <c r="F28" s="34">
        <v>0.2</v>
      </c>
    </row>
    <row r="30" spans="4:14" ht="15" x14ac:dyDescent="0.25">
      <c r="D30" s="29" t="s">
        <v>127</v>
      </c>
    </row>
    <row r="31" spans="4:14" x14ac:dyDescent="0.2">
      <c r="D31" t="s">
        <v>128</v>
      </c>
      <c r="E31" t="s">
        <v>173</v>
      </c>
      <c r="F31" s="50">
        <v>5</v>
      </c>
    </row>
    <row r="32" spans="4:14" x14ac:dyDescent="0.2">
      <c r="D32" t="s">
        <v>129</v>
      </c>
      <c r="J32" s="48">
        <v>0</v>
      </c>
      <c r="K32" s="48">
        <v>0.5</v>
      </c>
      <c r="L32" s="48">
        <v>0.5</v>
      </c>
      <c r="M32" s="48">
        <v>1.5</v>
      </c>
      <c r="N32" s="48">
        <v>1.5</v>
      </c>
    </row>
    <row r="34" spans="2:14" ht="20.25" thickBot="1" x14ac:dyDescent="0.35">
      <c r="B34" s="28" t="s">
        <v>130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</row>
    <row r="35" spans="2:14" ht="16.5" thickTop="1" thickBot="1" x14ac:dyDescent="0.3">
      <c r="C35" s="27" t="s">
        <v>131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 spans="2:14" ht="15" x14ac:dyDescent="0.25">
      <c r="D36" s="29" t="s">
        <v>132</v>
      </c>
    </row>
    <row r="37" spans="2:14" ht="15" x14ac:dyDescent="0.25">
      <c r="D37" t="s">
        <v>133</v>
      </c>
      <c r="E37" t="s">
        <v>177</v>
      </c>
      <c r="J37" s="33">
        <v>8000000</v>
      </c>
      <c r="K37" s="33"/>
      <c r="L37" s="33"/>
      <c r="M37" s="33"/>
      <c r="N37" s="33"/>
    </row>
    <row r="38" spans="2:14" ht="15" x14ac:dyDescent="0.25">
      <c r="D38" t="s">
        <v>134</v>
      </c>
      <c r="E38" t="s">
        <v>177</v>
      </c>
      <c r="J38" s="33">
        <v>12000000</v>
      </c>
      <c r="K38" s="33"/>
      <c r="L38" s="33"/>
      <c r="M38" s="33"/>
      <c r="N38" s="33"/>
    </row>
    <row r="39" spans="2:14" ht="15.75" thickBot="1" x14ac:dyDescent="0.3">
      <c r="D39" s="12" t="s">
        <v>135</v>
      </c>
      <c r="E39" s="12" t="s">
        <v>211</v>
      </c>
      <c r="F39" s="12"/>
      <c r="G39" s="12"/>
      <c r="H39" s="12"/>
      <c r="I39" s="12"/>
      <c r="J39" s="12">
        <f>SUM(J37,J38)</f>
        <v>20000000</v>
      </c>
      <c r="K39" s="12"/>
      <c r="L39" s="12"/>
      <c r="M39" s="12"/>
      <c r="N39" s="12"/>
    </row>
    <row r="40" spans="2:14" ht="15" thickTop="1" x14ac:dyDescent="0.2"/>
    <row r="41" spans="2:14" ht="15" x14ac:dyDescent="0.25">
      <c r="D41" s="29" t="s">
        <v>136</v>
      </c>
    </row>
    <row r="42" spans="2:14" x14ac:dyDescent="0.2">
      <c r="D42" t="s">
        <v>137</v>
      </c>
      <c r="E42" t="s">
        <v>173</v>
      </c>
      <c r="F42" s="33">
        <v>3</v>
      </c>
    </row>
    <row r="43" spans="2:14" x14ac:dyDescent="0.2">
      <c r="D43" t="s">
        <v>138</v>
      </c>
      <c r="E43" t="s">
        <v>172</v>
      </c>
      <c r="F43" s="34">
        <v>0.27</v>
      </c>
    </row>
    <row r="45" spans="2:14" ht="15" x14ac:dyDescent="0.25">
      <c r="D45" s="29" t="s">
        <v>139</v>
      </c>
    </row>
    <row r="46" spans="2:14" x14ac:dyDescent="0.2">
      <c r="D46" t="s">
        <v>140</v>
      </c>
      <c r="E46" t="s">
        <v>172</v>
      </c>
      <c r="F46" s="35">
        <v>0.15</v>
      </c>
    </row>
    <row r="47" spans="2:14" x14ac:dyDescent="0.2">
      <c r="D47" t="s">
        <v>141</v>
      </c>
      <c r="E47" t="s">
        <v>172</v>
      </c>
    </row>
    <row r="49" spans="2:14" ht="15.75" thickBot="1" x14ac:dyDescent="0.3">
      <c r="C49" s="27" t="s">
        <v>142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 spans="2:14" ht="15" x14ac:dyDescent="0.25">
      <c r="D50" s="29" t="s">
        <v>143</v>
      </c>
    </row>
    <row r="51" spans="2:14" ht="15" x14ac:dyDescent="0.25">
      <c r="D51" t="s">
        <v>213</v>
      </c>
      <c r="E51" t="s">
        <v>177</v>
      </c>
      <c r="J51" s="33">
        <v>4000000</v>
      </c>
      <c r="K51" s="33">
        <v>200000</v>
      </c>
      <c r="L51" s="33">
        <v>150000</v>
      </c>
      <c r="M51" s="33">
        <v>100000</v>
      </c>
      <c r="N51" s="33">
        <v>75000</v>
      </c>
    </row>
    <row r="52" spans="2:14" ht="16.5" x14ac:dyDescent="0.3">
      <c r="D52" s="36" t="s">
        <v>214</v>
      </c>
      <c r="E52" t="s">
        <v>177</v>
      </c>
      <c r="J52" s="33">
        <v>3500000</v>
      </c>
      <c r="K52" s="33">
        <v>400000</v>
      </c>
      <c r="L52" s="33">
        <v>300000</v>
      </c>
      <c r="M52" s="33">
        <v>250000</v>
      </c>
      <c r="N52" s="33">
        <v>125000</v>
      </c>
    </row>
    <row r="53" spans="2:14" x14ac:dyDescent="0.2">
      <c r="D53" t="s">
        <v>216</v>
      </c>
      <c r="J53" s="33">
        <v>2000000</v>
      </c>
      <c r="K53" s="33"/>
      <c r="L53" s="33"/>
      <c r="M53" s="33"/>
      <c r="N53" s="33"/>
    </row>
    <row r="54" spans="2:14" ht="15" x14ac:dyDescent="0.25">
      <c r="D54" s="29" t="s">
        <v>227</v>
      </c>
      <c r="E54" t="s">
        <v>177</v>
      </c>
      <c r="J54" s="33"/>
      <c r="K54" s="33"/>
      <c r="L54" s="33"/>
      <c r="M54" s="33"/>
      <c r="N54" s="33"/>
    </row>
    <row r="55" spans="2:14" ht="16.5" x14ac:dyDescent="0.3">
      <c r="D55" s="36" t="s">
        <v>215</v>
      </c>
      <c r="E55" t="s">
        <v>177</v>
      </c>
      <c r="J55" s="33">
        <v>2400000</v>
      </c>
      <c r="K55" s="33"/>
      <c r="L55" s="33"/>
      <c r="M55" s="33"/>
      <c r="N55" s="33"/>
    </row>
    <row r="56" spans="2:14" ht="15" x14ac:dyDescent="0.25">
      <c r="D56" s="29" t="s">
        <v>146</v>
      </c>
    </row>
    <row r="57" spans="2:14" ht="15" x14ac:dyDescent="0.25">
      <c r="D57" t="s">
        <v>147</v>
      </c>
      <c r="E57" t="s">
        <v>177</v>
      </c>
      <c r="J57" s="33">
        <v>5000000</v>
      </c>
      <c r="K57" s="33"/>
      <c r="L57" s="33"/>
      <c r="M57" s="33"/>
      <c r="N57" s="33"/>
    </row>
    <row r="58" spans="2:14" ht="15" x14ac:dyDescent="0.25">
      <c r="D58" t="s">
        <v>148</v>
      </c>
      <c r="E58" t="s">
        <v>177</v>
      </c>
      <c r="J58" s="33">
        <v>400000</v>
      </c>
      <c r="K58" s="33"/>
      <c r="L58" s="33"/>
      <c r="M58" s="33"/>
      <c r="N58" s="33"/>
    </row>
    <row r="59" spans="2:14" ht="15" x14ac:dyDescent="0.25">
      <c r="D59" t="s">
        <v>149</v>
      </c>
      <c r="E59" t="s">
        <v>177</v>
      </c>
      <c r="J59" s="33">
        <f>J39-SUM(J51:J58)</f>
        <v>2700000</v>
      </c>
      <c r="K59" s="33"/>
      <c r="L59" s="33"/>
      <c r="M59" s="33"/>
      <c r="N59" s="33"/>
    </row>
    <row r="60" spans="2:14" ht="15.75" thickBot="1" x14ac:dyDescent="0.3">
      <c r="D60" s="12" t="s">
        <v>150</v>
      </c>
      <c r="E60" s="12" t="s">
        <v>211</v>
      </c>
      <c r="F60" s="12"/>
      <c r="G60" s="12"/>
      <c r="H60" s="12"/>
      <c r="I60" s="12"/>
      <c r="J60" s="12">
        <f>SUM(J51:J59)</f>
        <v>20000000</v>
      </c>
      <c r="K60" s="12">
        <f t="shared" ref="K60:N60" si="5">SUM(K51:K59)</f>
        <v>600000</v>
      </c>
      <c r="L60" s="12">
        <f t="shared" si="5"/>
        <v>450000</v>
      </c>
      <c r="M60" s="12">
        <f t="shared" si="5"/>
        <v>350000</v>
      </c>
      <c r="N60" s="12">
        <f t="shared" si="5"/>
        <v>200000</v>
      </c>
    </row>
    <row r="61" spans="2:14" ht="15" thickTop="1" x14ac:dyDescent="0.2"/>
    <row r="62" spans="2:14" ht="20.25" thickBot="1" x14ac:dyDescent="0.35">
      <c r="B62" s="28" t="s">
        <v>151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 ht="16.5" thickTop="1" thickBot="1" x14ac:dyDescent="0.3">
      <c r="C63" s="27" t="s">
        <v>152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 spans="2:14" ht="15" x14ac:dyDescent="0.25">
      <c r="D64" s="29" t="s">
        <v>153</v>
      </c>
    </row>
    <row r="65" spans="3:14" ht="15" x14ac:dyDescent="0.25">
      <c r="D65" t="s">
        <v>217</v>
      </c>
      <c r="E65" t="s">
        <v>177</v>
      </c>
      <c r="F65" s="33">
        <v>50000</v>
      </c>
    </row>
    <row r="66" spans="3:14" ht="15" x14ac:dyDescent="0.25">
      <c r="D66" t="s">
        <v>218</v>
      </c>
      <c r="E66" t="s">
        <v>177</v>
      </c>
      <c r="F66" s="33">
        <v>80000</v>
      </c>
    </row>
    <row r="67" spans="3:14" ht="15" x14ac:dyDescent="0.25">
      <c r="D67" t="s">
        <v>219</v>
      </c>
      <c r="E67" t="s">
        <v>177</v>
      </c>
      <c r="F67" s="33">
        <v>25000</v>
      </c>
    </row>
    <row r="69" spans="3:14" ht="15" x14ac:dyDescent="0.25">
      <c r="D69" s="29" t="s">
        <v>154</v>
      </c>
    </row>
    <row r="70" spans="3:14" ht="15" x14ac:dyDescent="0.25">
      <c r="D70" t="s">
        <v>217</v>
      </c>
      <c r="E70" t="s">
        <v>177</v>
      </c>
      <c r="F70" s="33">
        <v>15000</v>
      </c>
    </row>
    <row r="71" spans="3:14" ht="15" x14ac:dyDescent="0.25">
      <c r="D71" t="s">
        <v>218</v>
      </c>
      <c r="E71" t="s">
        <v>177</v>
      </c>
      <c r="F71" s="33">
        <v>26000</v>
      </c>
    </row>
    <row r="72" spans="3:14" ht="15" x14ac:dyDescent="0.25">
      <c r="D72" t="s">
        <v>219</v>
      </c>
      <c r="E72" t="s">
        <v>177</v>
      </c>
      <c r="F72" s="33">
        <v>5000</v>
      </c>
    </row>
    <row r="74" spans="3:14" ht="15" x14ac:dyDescent="0.25">
      <c r="D74" s="29" t="s">
        <v>155</v>
      </c>
    </row>
    <row r="75" spans="3:14" x14ac:dyDescent="0.2">
      <c r="D75" t="s">
        <v>217</v>
      </c>
      <c r="E75" t="s">
        <v>174</v>
      </c>
      <c r="F75" s="33">
        <v>90</v>
      </c>
    </row>
    <row r="76" spans="3:14" x14ac:dyDescent="0.2">
      <c r="D76" t="s">
        <v>218</v>
      </c>
      <c r="E76" t="s">
        <v>174</v>
      </c>
      <c r="F76" s="33">
        <v>50</v>
      </c>
    </row>
    <row r="77" spans="3:14" x14ac:dyDescent="0.2">
      <c r="D77" t="s">
        <v>219</v>
      </c>
      <c r="E77" t="s">
        <v>174</v>
      </c>
      <c r="F77" s="33">
        <v>85</v>
      </c>
    </row>
    <row r="80" spans="3:14" ht="15.75" thickBot="1" x14ac:dyDescent="0.3">
      <c r="C80" s="27" t="s">
        <v>156</v>
      </c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</row>
    <row r="81" spans="4:14" ht="15" x14ac:dyDescent="0.25">
      <c r="D81" s="29" t="s">
        <v>157</v>
      </c>
    </row>
    <row r="82" spans="4:14" x14ac:dyDescent="0.2">
      <c r="D82" t="s">
        <v>220</v>
      </c>
      <c r="E82" t="s">
        <v>175</v>
      </c>
      <c r="J82" s="33">
        <v>2</v>
      </c>
      <c r="K82" s="33">
        <v>2</v>
      </c>
      <c r="L82" s="33">
        <v>2</v>
      </c>
      <c r="M82" s="33">
        <v>2</v>
      </c>
      <c r="N82" s="33">
        <v>2</v>
      </c>
    </row>
    <row r="83" spans="4:14" x14ac:dyDescent="0.2">
      <c r="D83" t="s">
        <v>221</v>
      </c>
      <c r="E83" t="s">
        <v>175</v>
      </c>
      <c r="J83" s="33">
        <v>1</v>
      </c>
      <c r="K83" s="33">
        <v>1</v>
      </c>
      <c r="L83" s="33">
        <v>1</v>
      </c>
      <c r="M83" s="33">
        <v>1</v>
      </c>
      <c r="N83" s="33">
        <v>1</v>
      </c>
    </row>
    <row r="84" spans="4:14" x14ac:dyDescent="0.2">
      <c r="D84" t="s">
        <v>222</v>
      </c>
      <c r="E84" t="s">
        <v>175</v>
      </c>
      <c r="J84" s="33">
        <v>1</v>
      </c>
      <c r="K84" s="33">
        <v>1</v>
      </c>
      <c r="L84" s="33">
        <v>1</v>
      </c>
      <c r="M84" s="33">
        <v>1</v>
      </c>
      <c r="N84" s="33">
        <v>1</v>
      </c>
    </row>
    <row r="85" spans="4:14" x14ac:dyDescent="0.2">
      <c r="D85" t="s">
        <v>223</v>
      </c>
      <c r="E85" t="s">
        <v>175</v>
      </c>
      <c r="J85" s="33">
        <v>1</v>
      </c>
      <c r="K85" s="33">
        <v>1</v>
      </c>
      <c r="L85" s="33">
        <v>1</v>
      </c>
      <c r="M85" s="33">
        <v>1</v>
      </c>
      <c r="N85" s="33">
        <v>1</v>
      </c>
    </row>
    <row r="86" spans="4:14" x14ac:dyDescent="0.2">
      <c r="D86" t="s">
        <v>158</v>
      </c>
      <c r="E86" t="s">
        <v>175</v>
      </c>
      <c r="J86" s="33"/>
      <c r="K86" s="33"/>
      <c r="L86" s="33"/>
      <c r="M86" s="33"/>
      <c r="N86" s="33"/>
    </row>
    <row r="88" spans="4:14" ht="15" x14ac:dyDescent="0.25">
      <c r="D88" s="29" t="s">
        <v>157</v>
      </c>
    </row>
    <row r="89" spans="4:14" ht="15" x14ac:dyDescent="0.25">
      <c r="D89" t="s">
        <v>220</v>
      </c>
      <c r="E89" t="s">
        <v>178</v>
      </c>
      <c r="J89" s="33">
        <v>120000</v>
      </c>
      <c r="K89" s="33">
        <v>120000</v>
      </c>
      <c r="L89" s="33">
        <v>120000</v>
      </c>
      <c r="M89" s="33">
        <v>120000</v>
      </c>
      <c r="N89" s="33">
        <v>120000</v>
      </c>
    </row>
    <row r="90" spans="4:14" ht="15" x14ac:dyDescent="0.25">
      <c r="D90" t="s">
        <v>221</v>
      </c>
      <c r="E90" t="s">
        <v>178</v>
      </c>
      <c r="J90" s="33">
        <v>150000</v>
      </c>
      <c r="K90" s="33">
        <v>150000</v>
      </c>
      <c r="L90" s="33">
        <v>150000</v>
      </c>
      <c r="M90" s="33">
        <v>150000</v>
      </c>
      <c r="N90" s="33">
        <v>150000</v>
      </c>
    </row>
    <row r="91" spans="4:14" ht="15" x14ac:dyDescent="0.25">
      <c r="D91" t="s">
        <v>222</v>
      </c>
      <c r="E91" t="s">
        <v>178</v>
      </c>
      <c r="J91" s="33">
        <v>100000</v>
      </c>
      <c r="K91" s="33">
        <v>100000</v>
      </c>
      <c r="L91" s="33">
        <v>100000</v>
      </c>
      <c r="M91" s="33">
        <v>100000</v>
      </c>
      <c r="N91" s="33">
        <v>100000</v>
      </c>
    </row>
    <row r="92" spans="4:14" ht="15" x14ac:dyDescent="0.25">
      <c r="D92" t="s">
        <v>223</v>
      </c>
      <c r="E92" t="s">
        <v>178</v>
      </c>
      <c r="J92" s="33">
        <v>80000</v>
      </c>
      <c r="K92" s="33">
        <v>80000</v>
      </c>
      <c r="L92" s="33">
        <v>80000</v>
      </c>
      <c r="M92" s="33">
        <v>80000</v>
      </c>
      <c r="N92" s="33">
        <v>80000</v>
      </c>
    </row>
    <row r="93" spans="4:14" ht="15" x14ac:dyDescent="0.25">
      <c r="D93" t="s">
        <v>158</v>
      </c>
      <c r="E93" t="s">
        <v>178</v>
      </c>
      <c r="J93" s="33"/>
      <c r="K93" s="33"/>
      <c r="L93" s="33"/>
      <c r="M93" s="33"/>
      <c r="N93" s="33"/>
    </row>
    <row r="95" spans="4:14" ht="15" x14ac:dyDescent="0.25">
      <c r="D95" s="29" t="s">
        <v>159</v>
      </c>
    </row>
    <row r="96" spans="4:14" ht="15" x14ac:dyDescent="0.25">
      <c r="D96" t="s">
        <v>147</v>
      </c>
      <c r="E96" t="s">
        <v>178</v>
      </c>
      <c r="J96" s="33">
        <v>360000</v>
      </c>
      <c r="K96" s="33">
        <v>360000</v>
      </c>
      <c r="L96" s="33">
        <v>360000</v>
      </c>
      <c r="M96" s="33">
        <v>360000</v>
      </c>
      <c r="N96" s="33">
        <v>360000</v>
      </c>
    </row>
    <row r="97" spans="3:14" ht="15" x14ac:dyDescent="0.25">
      <c r="D97" t="s">
        <v>160</v>
      </c>
      <c r="E97" t="s">
        <v>178</v>
      </c>
      <c r="J97" s="33">
        <v>25000</v>
      </c>
      <c r="K97" s="33">
        <v>25000</v>
      </c>
      <c r="L97" s="33">
        <v>25000</v>
      </c>
      <c r="M97" s="33">
        <v>25000</v>
      </c>
      <c r="N97" s="33">
        <v>25000</v>
      </c>
    </row>
    <row r="98" spans="3:14" ht="15" x14ac:dyDescent="0.25">
      <c r="D98" t="s">
        <v>161</v>
      </c>
      <c r="E98" t="s">
        <v>178</v>
      </c>
      <c r="J98" s="33">
        <v>40000</v>
      </c>
      <c r="K98" s="33">
        <v>40000</v>
      </c>
      <c r="L98" s="33">
        <v>40000</v>
      </c>
      <c r="M98" s="33">
        <v>40000</v>
      </c>
      <c r="N98" s="33">
        <v>40000</v>
      </c>
    </row>
    <row r="99" spans="3:14" ht="15" x14ac:dyDescent="0.25">
      <c r="D99" t="s">
        <v>162</v>
      </c>
      <c r="E99" t="s">
        <v>178</v>
      </c>
      <c r="J99" s="33">
        <v>20000</v>
      </c>
      <c r="K99" s="33">
        <v>20000</v>
      </c>
      <c r="L99" s="33">
        <v>20000</v>
      </c>
      <c r="M99" s="33">
        <v>20000</v>
      </c>
      <c r="N99" s="33">
        <v>20000</v>
      </c>
    </row>
    <row r="100" spans="3:14" ht="15" x14ac:dyDescent="0.25">
      <c r="D100" t="s">
        <v>145</v>
      </c>
      <c r="E100" t="s">
        <v>178</v>
      </c>
      <c r="J100" s="33">
        <v>160000</v>
      </c>
      <c r="K100" s="33">
        <v>160000</v>
      </c>
      <c r="L100" s="33">
        <v>160000</v>
      </c>
      <c r="M100" s="33">
        <v>160000</v>
      </c>
      <c r="N100" s="33">
        <v>160000</v>
      </c>
    </row>
    <row r="101" spans="3:14" ht="15" x14ac:dyDescent="0.25">
      <c r="D101" t="s">
        <v>148</v>
      </c>
      <c r="E101" t="s">
        <v>178</v>
      </c>
      <c r="J101" s="33">
        <v>32000</v>
      </c>
      <c r="K101" s="33">
        <v>32000</v>
      </c>
      <c r="L101" s="33">
        <v>32000</v>
      </c>
      <c r="M101" s="33">
        <v>32000</v>
      </c>
      <c r="N101" s="33">
        <v>32000</v>
      </c>
    </row>
    <row r="102" spans="3:14" ht="15" x14ac:dyDescent="0.25">
      <c r="D102" t="s">
        <v>163</v>
      </c>
      <c r="E102" t="s">
        <v>178</v>
      </c>
      <c r="J102" s="33">
        <v>8000</v>
      </c>
      <c r="K102" s="33">
        <v>8000</v>
      </c>
      <c r="L102" s="33">
        <v>8000</v>
      </c>
      <c r="M102" s="33">
        <v>8000</v>
      </c>
      <c r="N102" s="33">
        <v>8000</v>
      </c>
    </row>
    <row r="104" spans="3:14" ht="15.75" thickBot="1" x14ac:dyDescent="0.3">
      <c r="C104" s="27" t="s">
        <v>164</v>
      </c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</row>
    <row r="105" spans="3:14" ht="15" x14ac:dyDescent="0.25">
      <c r="D105" s="29" t="s">
        <v>127</v>
      </c>
    </row>
    <row r="106" spans="3:14" x14ac:dyDescent="0.2">
      <c r="D106" t="s">
        <v>144</v>
      </c>
      <c r="E106" t="s">
        <v>176</v>
      </c>
      <c r="J106" s="33">
        <v>50</v>
      </c>
      <c r="K106" s="33">
        <v>50</v>
      </c>
      <c r="L106" s="33">
        <v>50</v>
      </c>
      <c r="M106" s="33">
        <v>50</v>
      </c>
      <c r="N106" s="33">
        <v>50</v>
      </c>
    </row>
    <row r="107" spans="3:14" x14ac:dyDescent="0.2">
      <c r="D107" t="s">
        <v>165</v>
      </c>
      <c r="E107" t="s">
        <v>176</v>
      </c>
      <c r="J107" s="33">
        <v>40</v>
      </c>
      <c r="K107" s="33">
        <v>40</v>
      </c>
      <c r="L107" s="33">
        <v>40</v>
      </c>
      <c r="M107" s="33">
        <v>40</v>
      </c>
      <c r="N107" s="33">
        <v>40</v>
      </c>
    </row>
    <row r="108" spans="3:14" x14ac:dyDescent="0.2">
      <c r="D108" t="s">
        <v>166</v>
      </c>
      <c r="E108" t="s">
        <v>176</v>
      </c>
      <c r="J108" s="33">
        <v>15</v>
      </c>
      <c r="K108" s="33">
        <v>15</v>
      </c>
      <c r="L108" s="33">
        <v>15</v>
      </c>
      <c r="M108" s="33">
        <v>15</v>
      </c>
      <c r="N108" s="33">
        <v>15</v>
      </c>
    </row>
    <row r="109" spans="3:14" ht="15" x14ac:dyDescent="0.25">
      <c r="D109" s="29" t="s">
        <v>167</v>
      </c>
    </row>
    <row r="110" spans="3:14" x14ac:dyDescent="0.2">
      <c r="D110" t="s">
        <v>168</v>
      </c>
      <c r="E110" t="s">
        <v>176</v>
      </c>
      <c r="J110" s="33">
        <v>40</v>
      </c>
      <c r="K110" s="33">
        <v>40</v>
      </c>
      <c r="L110" s="33">
        <v>40</v>
      </c>
      <c r="M110" s="33">
        <v>40</v>
      </c>
      <c r="N110" s="33">
        <v>40</v>
      </c>
    </row>
    <row r="111" spans="3:14" x14ac:dyDescent="0.2">
      <c r="D111" t="s">
        <v>169</v>
      </c>
      <c r="E111" t="s">
        <v>176</v>
      </c>
      <c r="J111" s="33">
        <v>20</v>
      </c>
      <c r="K111" s="33">
        <v>20</v>
      </c>
      <c r="L111" s="33">
        <v>20</v>
      </c>
      <c r="M111" s="33">
        <v>20</v>
      </c>
      <c r="N111" s="33">
        <v>20</v>
      </c>
    </row>
  </sheetData>
  <hyperlinks>
    <hyperlink ref="N2" location="'Model Guide'!A1" tooltip="Go to Model Guide Sheet" display="Menu" xr:uid="{E81884FD-8A36-411B-BFFF-21FFACF810F2}"/>
  </hyperlinks>
  <pageMargins left="0.70866141732283472" right="0.70866141732283472" top="0.74803149606299213" bottom="0.74803149606299213" header="0.31496062992125984" footer="0.31496062992125984"/>
  <pageSetup scale="68" fitToHeight="0" orientation="landscape" r:id="rId1"/>
  <headerFooter>
    <oddFooter>&amp;L&amp;D&amp;COluwatimilehin Fafiola&amp;R&amp;P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1675-0876-411A-9605-F26AB2E51358}">
  <sheetPr>
    <tabColor theme="2" tint="-0.499984740745262"/>
    <pageSetUpPr fitToPage="1"/>
  </sheetPr>
  <dimension ref="A1:O183"/>
  <sheetViews>
    <sheetView showGridLines="0" tabSelected="1" workbookViewId="0">
      <pane xSplit="4" ySplit="8" topLeftCell="G70" activePane="bottomRight" state="frozen"/>
      <selection activeCell="J18" sqref="J18"/>
      <selection pane="topRight" activeCell="J18" sqref="J18"/>
      <selection pane="bottomLeft" activeCell="J18" sqref="J18"/>
      <selection pane="bottomRight" activeCell="J18" sqref="J18"/>
    </sheetView>
  </sheetViews>
  <sheetFormatPr defaultColWidth="0" defaultRowHeight="14.25" x14ac:dyDescent="0.2"/>
  <cols>
    <col min="1" max="3" width="2" customWidth="1"/>
    <col min="4" max="4" width="27.75" customWidth="1"/>
    <col min="5" max="5" width="9.75" customWidth="1"/>
    <col min="6" max="6" width="11.875" customWidth="1"/>
    <col min="7" max="7" width="9" customWidth="1"/>
    <col min="8" max="9" width="13.375" customWidth="1"/>
    <col min="10" max="10" width="17.5" customWidth="1"/>
    <col min="11" max="11" width="17.25" customWidth="1"/>
    <col min="12" max="12" width="16.625" customWidth="1"/>
    <col min="13" max="13" width="15.625" customWidth="1"/>
    <col min="14" max="14" width="15.875" customWidth="1"/>
    <col min="15" max="15" width="9" customWidth="1"/>
    <col min="16" max="16384" width="9" hidden="1"/>
  </cols>
  <sheetData>
    <row r="1" spans="2:14" ht="15" x14ac:dyDescent="0.25">
      <c r="J1" s="69" t="s">
        <v>224</v>
      </c>
      <c r="K1" s="69"/>
      <c r="L1" s="69"/>
      <c r="M1" s="69"/>
      <c r="N1" s="69"/>
    </row>
    <row r="2" spans="2:14" ht="38.25" x14ac:dyDescent="0.7">
      <c r="B2" s="15" t="str">
        <f>Company_Name</f>
        <v xml:space="preserve">Tage Corp 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25" t="s">
        <v>94</v>
      </c>
    </row>
    <row r="3" spans="2:14" ht="27.75" x14ac:dyDescent="0.5">
      <c r="B3" s="16"/>
      <c r="C3" s="16" t="str">
        <f>'Model Guide'!D25</f>
        <v>Calculator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14" x14ac:dyDescent="0.2">
      <c r="D4" t="s">
        <v>89</v>
      </c>
    </row>
    <row r="5" spans="2:14" ht="15" x14ac:dyDescent="0.25">
      <c r="D5" t="s">
        <v>92</v>
      </c>
      <c r="H5" s="24" t="s">
        <v>84</v>
      </c>
      <c r="I5" s="22"/>
      <c r="J5" s="23">
        <f>I6+Ctrl_1</f>
        <v>45658</v>
      </c>
      <c r="K5" s="23">
        <f>J6+Ctrl_1</f>
        <v>46023</v>
      </c>
      <c r="L5" s="23">
        <f>K6+Ctrl_1</f>
        <v>46388</v>
      </c>
      <c r="M5" s="23">
        <f>L6+Ctrl_1</f>
        <v>46753</v>
      </c>
      <c r="N5" s="23">
        <f>M6+Ctrl_1</f>
        <v>47119</v>
      </c>
    </row>
    <row r="6" spans="2:14" ht="15" x14ac:dyDescent="0.25">
      <c r="H6" s="24" t="s">
        <v>85</v>
      </c>
      <c r="I6" s="23">
        <f>EOMONTH(J6,- Ctrl_12)</f>
        <v>45657</v>
      </c>
      <c r="J6" s="23">
        <f>EOMONTH(K6,- Ctrl_12)</f>
        <v>46022</v>
      </c>
      <c r="K6" s="23">
        <f>EOMONTH(L6,- Ctrl_12)</f>
        <v>46387</v>
      </c>
      <c r="L6" s="23">
        <f>EOMONTH(M6,- Ctrl_12)</f>
        <v>46752</v>
      </c>
      <c r="M6" s="23">
        <f>EOMONTH(N6,- Ctrl_12)</f>
        <v>47118</v>
      </c>
      <c r="N6" s="23">
        <f>Model_Period_End</f>
        <v>47483</v>
      </c>
    </row>
    <row r="7" spans="2:14" ht="15" x14ac:dyDescent="0.25">
      <c r="H7" s="24" t="s">
        <v>86</v>
      </c>
      <c r="I7" s="21">
        <f>YEAR(I6)</f>
        <v>2024</v>
      </c>
      <c r="J7" s="21">
        <f t="shared" ref="J7:N7" si="0">YEAR(J6)</f>
        <v>2025</v>
      </c>
      <c r="K7" s="21">
        <f t="shared" si="0"/>
        <v>2026</v>
      </c>
      <c r="L7" s="21">
        <f t="shared" si="0"/>
        <v>2027</v>
      </c>
      <c r="M7" s="21">
        <f t="shared" si="0"/>
        <v>2028</v>
      </c>
      <c r="N7" s="21">
        <f t="shared" si="0"/>
        <v>2029</v>
      </c>
    </row>
    <row r="8" spans="2:14" ht="15" x14ac:dyDescent="0.25">
      <c r="D8" s="24" t="s">
        <v>91</v>
      </c>
      <c r="E8" s="24" t="s">
        <v>208</v>
      </c>
      <c r="F8" s="24" t="s">
        <v>209</v>
      </c>
      <c r="H8" s="24" t="s">
        <v>87</v>
      </c>
      <c r="I8" s="24" t="s">
        <v>90</v>
      </c>
      <c r="J8" s="24" t="s">
        <v>90</v>
      </c>
      <c r="K8" s="24" t="s">
        <v>90</v>
      </c>
      <c r="L8" s="24" t="s">
        <v>90</v>
      </c>
      <c r="M8" s="24" t="s">
        <v>90</v>
      </c>
      <c r="N8" s="24" t="s">
        <v>90</v>
      </c>
    </row>
    <row r="9" spans="2:14" ht="15" x14ac:dyDescent="0.25">
      <c r="D9" s="24"/>
      <c r="E9" s="24"/>
      <c r="F9" s="24"/>
      <c r="H9" s="24"/>
      <c r="I9" s="32">
        <f>I7-$I$7</f>
        <v>0</v>
      </c>
      <c r="J9" s="32">
        <f t="shared" ref="J9:N9" si="1">J7-$I$7</f>
        <v>1</v>
      </c>
      <c r="K9" s="32">
        <f t="shared" si="1"/>
        <v>2</v>
      </c>
      <c r="L9" s="32">
        <f t="shared" si="1"/>
        <v>3</v>
      </c>
      <c r="M9" s="32">
        <f t="shared" si="1"/>
        <v>4</v>
      </c>
      <c r="N9" s="32">
        <f t="shared" si="1"/>
        <v>5</v>
      </c>
    </row>
    <row r="10" spans="2:14" ht="15" x14ac:dyDescent="0.25">
      <c r="D10" s="24"/>
      <c r="E10" s="24"/>
      <c r="F10" s="24"/>
      <c r="H10" s="24"/>
      <c r="I10" s="24"/>
      <c r="J10" s="24"/>
      <c r="K10" s="24"/>
      <c r="L10" s="24"/>
      <c r="M10" s="24"/>
      <c r="N10" s="24"/>
    </row>
    <row r="11" spans="2:14" ht="20.25" thickBot="1" x14ac:dyDescent="0.35">
      <c r="B11" s="28" t="s">
        <v>179</v>
      </c>
      <c r="C11" s="28"/>
      <c r="D11" s="28"/>
      <c r="E11" s="28"/>
      <c r="F11" s="28" t="s">
        <v>93</v>
      </c>
      <c r="G11" s="28"/>
      <c r="H11" s="28"/>
      <c r="I11" s="28"/>
      <c r="J11" s="28"/>
      <c r="K11" s="28"/>
      <c r="L11" s="28"/>
      <c r="M11" s="28"/>
      <c r="N11" s="28"/>
    </row>
    <row r="12" spans="2:14" ht="16.5" thickTop="1" thickBot="1" x14ac:dyDescent="0.3">
      <c r="C12" s="27" t="s">
        <v>180</v>
      </c>
      <c r="D12" s="27"/>
      <c r="E12" s="27"/>
      <c r="F12" s="27"/>
      <c r="G12" s="27"/>
      <c r="H12" s="27"/>
      <c r="I12" s="27"/>
      <c r="J12" s="40"/>
      <c r="K12" s="40"/>
      <c r="L12" s="40"/>
      <c r="M12" s="40"/>
      <c r="N12" s="40"/>
    </row>
    <row r="13" spans="2:14" x14ac:dyDescent="0.2">
      <c r="D13" t="s">
        <v>122</v>
      </c>
      <c r="J13" s="38">
        <f>Input!J22</f>
        <v>1</v>
      </c>
      <c r="K13" s="38">
        <f>Input!K22</f>
        <v>1.0169999999999999</v>
      </c>
      <c r="L13" s="38">
        <f>Input!L22</f>
        <v>1.036324</v>
      </c>
      <c r="M13" s="38">
        <f>Input!M22</f>
        <v>1.0612079999999999</v>
      </c>
      <c r="N13" s="38">
        <f>Input!N22</f>
        <v>1.08243216</v>
      </c>
    </row>
    <row r="14" spans="2:14" x14ac:dyDescent="0.2">
      <c r="D14" t="s">
        <v>119</v>
      </c>
      <c r="J14" s="38">
        <f>Input!J18</f>
        <v>1</v>
      </c>
      <c r="K14" s="38">
        <f>Input!K18</f>
        <v>1.2503</v>
      </c>
      <c r="L14" s="38">
        <f>Input!L18</f>
        <v>1.44</v>
      </c>
      <c r="M14" s="38">
        <f>Input!M18</f>
        <v>1.3310000000000004</v>
      </c>
      <c r="N14" s="38">
        <f>Input!N18</f>
        <v>1.4641000000000004</v>
      </c>
    </row>
    <row r="15" spans="2:14" x14ac:dyDescent="0.2">
      <c r="D15" t="s">
        <v>181</v>
      </c>
      <c r="J15" s="37">
        <f>Months_in_a_period</f>
        <v>12</v>
      </c>
      <c r="K15" s="37">
        <f>Months_in_a_period</f>
        <v>12</v>
      </c>
      <c r="L15" s="37">
        <f>Months_in_a_period</f>
        <v>12</v>
      </c>
      <c r="M15" s="37">
        <f>Months_in_a_period</f>
        <v>12</v>
      </c>
      <c r="N15" s="37">
        <f>Months_in_a_period</f>
        <v>12</v>
      </c>
    </row>
    <row r="16" spans="2:14" x14ac:dyDescent="0.2">
      <c r="D16" t="s">
        <v>124</v>
      </c>
      <c r="E16" t="s">
        <v>172</v>
      </c>
      <c r="J16" s="39">
        <f>Input!J25</f>
        <v>7.1300000000000002E-2</v>
      </c>
      <c r="K16" s="39">
        <f>Input!K25</f>
        <v>7.1300000000000002E-2</v>
      </c>
      <c r="L16" s="39">
        <f>Input!L25</f>
        <v>7.1300000000000002E-2</v>
      </c>
      <c r="M16" s="39">
        <f>Input!M25</f>
        <v>7.1300000000000002E-2</v>
      </c>
      <c r="N16" s="39">
        <f>Input!N25</f>
        <v>7.1300000000000002E-2</v>
      </c>
    </row>
    <row r="17" spans="4:14" ht="15" x14ac:dyDescent="0.25">
      <c r="J17" s="68"/>
      <c r="K17" s="68"/>
      <c r="L17" s="68"/>
      <c r="M17" s="68"/>
      <c r="N17" s="68"/>
    </row>
    <row r="18" spans="4:14" ht="15" x14ac:dyDescent="0.25">
      <c r="D18" s="29" t="s">
        <v>182</v>
      </c>
    </row>
    <row r="19" spans="4:14" ht="15" x14ac:dyDescent="0.25">
      <c r="D19" t="s">
        <v>217</v>
      </c>
      <c r="E19" t="s">
        <v>177</v>
      </c>
      <c r="I19" s="37">
        <f>Input!F65</f>
        <v>50000</v>
      </c>
      <c r="J19">
        <f>I19*J13</f>
        <v>50000</v>
      </c>
      <c r="K19">
        <f t="shared" ref="K19:N19" si="2">J19*K13</f>
        <v>50849.999999999993</v>
      </c>
      <c r="L19">
        <f t="shared" si="2"/>
        <v>52697.075399999994</v>
      </c>
      <c r="M19">
        <f t="shared" si="2"/>
        <v>55922.557991083188</v>
      </c>
      <c r="N19">
        <f t="shared" si="2"/>
        <v>60532.375239013432</v>
      </c>
    </row>
    <row r="20" spans="4:14" ht="15" x14ac:dyDescent="0.25">
      <c r="D20" t="s">
        <v>218</v>
      </c>
      <c r="E20" t="s">
        <v>177</v>
      </c>
      <c r="I20" s="37">
        <f>Input!F66</f>
        <v>80000</v>
      </c>
      <c r="J20">
        <f>I20*J13</f>
        <v>80000</v>
      </c>
      <c r="K20">
        <f t="shared" ref="K20:N20" si="3">J20*K13</f>
        <v>81359.999999999985</v>
      </c>
      <c r="L20">
        <f t="shared" si="3"/>
        <v>84315.320639999991</v>
      </c>
      <c r="M20">
        <f t="shared" si="3"/>
        <v>89476.092785733097</v>
      </c>
      <c r="N20">
        <f t="shared" si="3"/>
        <v>96851.800382421497</v>
      </c>
    </row>
    <row r="21" spans="4:14" ht="15" x14ac:dyDescent="0.25">
      <c r="D21" t="s">
        <v>219</v>
      </c>
      <c r="E21" t="s">
        <v>177</v>
      </c>
      <c r="I21" s="37">
        <f>Input!F67</f>
        <v>25000</v>
      </c>
      <c r="J21">
        <f>I21*J13</f>
        <v>25000</v>
      </c>
      <c r="K21">
        <f t="shared" ref="K21:N21" si="4">J21*K13</f>
        <v>25424.999999999996</v>
      </c>
      <c r="L21">
        <f t="shared" si="4"/>
        <v>26348.537699999997</v>
      </c>
      <c r="M21">
        <f t="shared" si="4"/>
        <v>27961.278995541594</v>
      </c>
      <c r="N21">
        <f t="shared" si="4"/>
        <v>30266.187619506716</v>
      </c>
    </row>
    <row r="23" spans="4:14" ht="15" x14ac:dyDescent="0.25">
      <c r="D23" s="29" t="s">
        <v>183</v>
      </c>
    </row>
    <row r="24" spans="4:14" ht="15" x14ac:dyDescent="0.25">
      <c r="D24" t="s">
        <v>217</v>
      </c>
      <c r="E24" t="s">
        <v>177</v>
      </c>
      <c r="I24" s="37">
        <f>Input!F70</f>
        <v>15000</v>
      </c>
      <c r="J24">
        <f>I24*J14</f>
        <v>15000</v>
      </c>
      <c r="K24">
        <f t="shared" ref="K24:N24" si="5">J24*K14</f>
        <v>18754.5</v>
      </c>
      <c r="L24">
        <f t="shared" si="5"/>
        <v>27006.48</v>
      </c>
      <c r="M24">
        <f t="shared" si="5"/>
        <v>35945.62488000001</v>
      </c>
      <c r="N24">
        <f t="shared" si="5"/>
        <v>52627.989386808033</v>
      </c>
    </row>
    <row r="25" spans="4:14" ht="15" x14ac:dyDescent="0.25">
      <c r="D25" t="s">
        <v>218</v>
      </c>
      <c r="E25" t="s">
        <v>177</v>
      </c>
      <c r="I25" s="37">
        <f>Input!F71</f>
        <v>26000</v>
      </c>
      <c r="J25">
        <f>I25*J14</f>
        <v>26000</v>
      </c>
      <c r="K25">
        <f t="shared" ref="K25:N25" si="6">J25*K14</f>
        <v>32507.8</v>
      </c>
      <c r="L25">
        <f t="shared" si="6"/>
        <v>46811.231999999996</v>
      </c>
      <c r="M25">
        <f t="shared" si="6"/>
        <v>62305.749792000017</v>
      </c>
      <c r="N25">
        <f t="shared" si="6"/>
        <v>91221.84827046725</v>
      </c>
    </row>
    <row r="26" spans="4:14" ht="15" x14ac:dyDescent="0.25">
      <c r="D26" t="s">
        <v>219</v>
      </c>
      <c r="E26" t="s">
        <v>177</v>
      </c>
      <c r="I26" s="37">
        <f>Input!F72</f>
        <v>5000</v>
      </c>
      <c r="J26">
        <f>I26*J14</f>
        <v>5000</v>
      </c>
      <c r="K26">
        <f t="shared" ref="K26:N26" si="7">J26*K14</f>
        <v>6251.5</v>
      </c>
      <c r="L26">
        <f t="shared" si="7"/>
        <v>9002.16</v>
      </c>
      <c r="M26">
        <f t="shared" si="7"/>
        <v>11981.874960000003</v>
      </c>
      <c r="N26">
        <f t="shared" si="7"/>
        <v>17542.663128936008</v>
      </c>
    </row>
    <row r="28" spans="4:14" ht="15" x14ac:dyDescent="0.25">
      <c r="D28" s="29" t="s">
        <v>184</v>
      </c>
    </row>
    <row r="29" spans="4:14" ht="15" x14ac:dyDescent="0.25">
      <c r="D29" t="s">
        <v>217</v>
      </c>
      <c r="E29" t="s">
        <v>210</v>
      </c>
      <c r="F29" s="37">
        <f>Input!F75</f>
        <v>90</v>
      </c>
      <c r="I29" s="24">
        <f>F29*J15</f>
        <v>1080</v>
      </c>
      <c r="J29">
        <f>I29*(1+J16)</f>
        <v>1157.0039999999999</v>
      </c>
      <c r="K29">
        <f t="shared" ref="K29:N29" si="8">J29*(1+K16)</f>
        <v>1239.4983851999998</v>
      </c>
      <c r="L29">
        <f t="shared" si="8"/>
        <v>1327.8746200647597</v>
      </c>
      <c r="M29">
        <f t="shared" si="8"/>
        <v>1422.5520804753769</v>
      </c>
      <c r="N29">
        <f t="shared" si="8"/>
        <v>1523.9800438132711</v>
      </c>
    </row>
    <row r="30" spans="4:14" ht="15" x14ac:dyDescent="0.25">
      <c r="D30" t="s">
        <v>218</v>
      </c>
      <c r="E30" t="s">
        <v>210</v>
      </c>
      <c r="F30" s="37">
        <f>Input!F76</f>
        <v>50</v>
      </c>
      <c r="I30" s="24">
        <f>F30*J15</f>
        <v>600</v>
      </c>
      <c r="J30">
        <f>I30*(1+J16)</f>
        <v>642.78</v>
      </c>
      <c r="K30">
        <f t="shared" ref="K30:N30" si="9">J30*(1+K16)</f>
        <v>688.61021399999993</v>
      </c>
      <c r="L30">
        <f t="shared" si="9"/>
        <v>737.70812225819986</v>
      </c>
      <c r="M30">
        <f t="shared" si="9"/>
        <v>790.30671137520949</v>
      </c>
      <c r="N30">
        <f t="shared" si="9"/>
        <v>846.65557989626188</v>
      </c>
    </row>
    <row r="31" spans="4:14" ht="15" x14ac:dyDescent="0.25">
      <c r="D31" t="s">
        <v>219</v>
      </c>
      <c r="E31" t="s">
        <v>210</v>
      </c>
      <c r="F31" s="37">
        <f>Input!F77</f>
        <v>85</v>
      </c>
      <c r="I31" s="24">
        <f>F31*J15</f>
        <v>1020</v>
      </c>
      <c r="J31">
        <f>I31*(1+J16)</f>
        <v>1092.7259999999999</v>
      </c>
      <c r="K31">
        <f t="shared" ref="K31:N31" si="10">J31*(1+K16)</f>
        <v>1170.6373637999998</v>
      </c>
      <c r="L31">
        <f t="shared" si="10"/>
        <v>1254.1038078389397</v>
      </c>
      <c r="M31">
        <f t="shared" si="10"/>
        <v>1343.5214093378561</v>
      </c>
      <c r="N31">
        <f t="shared" si="10"/>
        <v>1439.3144858236451</v>
      </c>
    </row>
    <row r="34" spans="2:15" ht="15" x14ac:dyDescent="0.25">
      <c r="D34" s="29" t="s">
        <v>185</v>
      </c>
    </row>
    <row r="35" spans="2:15" ht="15" x14ac:dyDescent="0.25">
      <c r="D35" t="s">
        <v>217</v>
      </c>
      <c r="E35" t="s">
        <v>177</v>
      </c>
      <c r="J35">
        <f>I29*J19</f>
        <v>54000000</v>
      </c>
      <c r="K35">
        <f t="shared" ref="K35:N35" si="11">J29*K19</f>
        <v>58833653.399999984</v>
      </c>
      <c r="L35">
        <f t="shared" si="11"/>
        <v>65317939.863062628</v>
      </c>
      <c r="M35">
        <f t="shared" si="11"/>
        <v>74258145.445459083</v>
      </c>
      <c r="N35">
        <f t="shared" si="11"/>
        <v>86110456.332374752</v>
      </c>
    </row>
    <row r="36" spans="2:15" ht="15" x14ac:dyDescent="0.25">
      <c r="D36" t="s">
        <v>218</v>
      </c>
      <c r="E36" t="s">
        <v>177</v>
      </c>
      <c r="J36">
        <f>I30*J20</f>
        <v>48000000</v>
      </c>
      <c r="K36">
        <f t="shared" ref="K36:N36" si="12">J30*K20</f>
        <v>52296580.79999999</v>
      </c>
      <c r="L36">
        <f t="shared" si="12"/>
        <v>58060390.989389002</v>
      </c>
      <c r="M36">
        <f t="shared" si="12"/>
        <v>66007240.395963624</v>
      </c>
      <c r="N36">
        <f t="shared" si="12"/>
        <v>76542627.850999787</v>
      </c>
    </row>
    <row r="37" spans="2:15" ht="15" x14ac:dyDescent="0.25">
      <c r="D37" t="s">
        <v>219</v>
      </c>
      <c r="E37" t="s">
        <v>177</v>
      </c>
      <c r="J37">
        <f>I31*J21</f>
        <v>25500000</v>
      </c>
      <c r="K37">
        <f t="shared" ref="K37:N37" si="13">J31*K21</f>
        <v>27782558.549999993</v>
      </c>
      <c r="L37">
        <f t="shared" si="13"/>
        <v>30844582.713112906</v>
      </c>
      <c r="M37">
        <f t="shared" si="13"/>
        <v>35066346.460355677</v>
      </c>
      <c r="N37">
        <f t="shared" si="13"/>
        <v>40663271.045843638</v>
      </c>
    </row>
    <row r="38" spans="2:15" ht="15.75" thickBot="1" x14ac:dyDescent="0.3">
      <c r="D38" s="12" t="s">
        <v>186</v>
      </c>
      <c r="E38" s="12" t="s">
        <v>211</v>
      </c>
      <c r="F38" s="12"/>
      <c r="G38" s="12"/>
      <c r="H38" s="12"/>
      <c r="I38" s="12"/>
      <c r="J38" s="12">
        <f>SUM(J35:J37)</f>
        <v>127500000</v>
      </c>
      <c r="K38" s="12">
        <f t="shared" ref="K38:N38" si="14">SUM(K35:K37)</f>
        <v>138912792.74999997</v>
      </c>
      <c r="L38" s="12">
        <f t="shared" si="14"/>
        <v>154222913.56556451</v>
      </c>
      <c r="M38" s="12">
        <f t="shared" si="14"/>
        <v>175331732.30177838</v>
      </c>
      <c r="N38" s="12">
        <f t="shared" si="14"/>
        <v>203316355.22921816</v>
      </c>
    </row>
    <row r="39" spans="2:15" ht="15" thickTop="1" x14ac:dyDescent="0.2"/>
    <row r="40" spans="2:15" ht="15" x14ac:dyDescent="0.25">
      <c r="D40" s="29" t="s">
        <v>154</v>
      </c>
    </row>
    <row r="41" spans="2:15" ht="15" x14ac:dyDescent="0.25">
      <c r="D41" t="s">
        <v>217</v>
      </c>
      <c r="E41" t="s">
        <v>177</v>
      </c>
      <c r="J41">
        <f>I29*I24</f>
        <v>16200000</v>
      </c>
      <c r="K41">
        <f t="shared" ref="K41:N41" si="15">J29*J24</f>
        <v>17355060</v>
      </c>
      <c r="L41">
        <f t="shared" si="15"/>
        <v>23246172.465233397</v>
      </c>
      <c r="M41">
        <f t="shared" si="15"/>
        <v>35861219.36928653</v>
      </c>
      <c r="N41">
        <f t="shared" si="15"/>
        <v>51134523.457031481</v>
      </c>
    </row>
    <row r="42" spans="2:15" ht="15" x14ac:dyDescent="0.25">
      <c r="D42" t="s">
        <v>218</v>
      </c>
      <c r="E42" t="s">
        <v>177</v>
      </c>
      <c r="J42">
        <f>I30*I25</f>
        <v>15600000</v>
      </c>
      <c r="K42">
        <f t="shared" ref="K42:N42" si="16">J30*J25</f>
        <v>16712280</v>
      </c>
      <c r="L42">
        <f t="shared" si="16"/>
        <v>22385203.114669196</v>
      </c>
      <c r="M42">
        <f t="shared" si="16"/>
        <v>34533026.059312955</v>
      </c>
      <c r="N42">
        <f t="shared" si="16"/>
        <v>49240652.217882179</v>
      </c>
    </row>
    <row r="43" spans="2:15" ht="15" x14ac:dyDescent="0.25">
      <c r="D43" t="s">
        <v>219</v>
      </c>
      <c r="E43" t="s">
        <v>177</v>
      </c>
      <c r="J43">
        <f>I31*I26</f>
        <v>5100000</v>
      </c>
      <c r="K43">
        <f t="shared" ref="K43:N43" si="17">J31*J26</f>
        <v>5463629.9999999991</v>
      </c>
      <c r="L43">
        <f t="shared" si="17"/>
        <v>7318239.479795699</v>
      </c>
      <c r="M43">
        <f t="shared" si="17"/>
        <v>11289643.134775389</v>
      </c>
      <c r="N43">
        <f t="shared" si="17"/>
        <v>16097905.532769172</v>
      </c>
    </row>
    <row r="44" spans="2:15" ht="15.75" thickBot="1" x14ac:dyDescent="0.3">
      <c r="D44" s="12" t="s">
        <v>187</v>
      </c>
      <c r="E44" s="12" t="s">
        <v>211</v>
      </c>
      <c r="F44" s="12"/>
      <c r="G44" s="12"/>
      <c r="H44" s="12"/>
      <c r="I44" s="12"/>
      <c r="J44" s="12">
        <f>SUM(J41:J43)</f>
        <v>36900000</v>
      </c>
      <c r="K44" s="12">
        <f t="shared" ref="K44:N44" si="18">SUM(K41:K43)</f>
        <v>39530970</v>
      </c>
      <c r="L44" s="12">
        <f t="shared" si="18"/>
        <v>52949615.059698291</v>
      </c>
      <c r="M44" s="12">
        <f t="shared" si="18"/>
        <v>81683888.563374862</v>
      </c>
      <c r="N44" s="12">
        <f t="shared" si="18"/>
        <v>116473081.20768283</v>
      </c>
      <c r="O44" s="31"/>
    </row>
    <row r="45" spans="2:15" ht="15" thickTop="1" x14ac:dyDescent="0.2"/>
    <row r="48" spans="2:15" ht="20.25" thickBot="1" x14ac:dyDescent="0.35">
      <c r="B48" s="28" t="s">
        <v>156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31"/>
    </row>
    <row r="49" spans="3:15" ht="15" thickTop="1" x14ac:dyDescent="0.2">
      <c r="C49" t="s">
        <v>181</v>
      </c>
      <c r="J49">
        <f>Months_in_a_period</f>
        <v>12</v>
      </c>
      <c r="K49">
        <f>Months_in_a_period</f>
        <v>12</v>
      </c>
      <c r="L49">
        <f>Months_in_a_period</f>
        <v>12</v>
      </c>
      <c r="M49">
        <f>Months_in_a_period</f>
        <v>12</v>
      </c>
      <c r="N49">
        <f>Months_in_a_period</f>
        <v>12</v>
      </c>
    </row>
    <row r="50" spans="3:15" x14ac:dyDescent="0.2">
      <c r="C50" t="s">
        <v>119</v>
      </c>
      <c r="J50" s="13">
        <f>Input!J18</f>
        <v>1</v>
      </c>
      <c r="K50" s="13">
        <f>Input!K18</f>
        <v>1.2503</v>
      </c>
      <c r="L50" s="13">
        <f>Input!L18</f>
        <v>1.44</v>
      </c>
      <c r="M50" s="13">
        <f>Input!M18</f>
        <v>1.3310000000000004</v>
      </c>
      <c r="N50" s="13">
        <f>Input!N18</f>
        <v>1.4641000000000004</v>
      </c>
    </row>
    <row r="52" spans="3:15" ht="15.75" thickBot="1" x14ac:dyDescent="0.3">
      <c r="C52" s="27" t="s">
        <v>188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31"/>
    </row>
    <row r="53" spans="3:15" ht="15" x14ac:dyDescent="0.25">
      <c r="D53" s="29" t="s">
        <v>157</v>
      </c>
      <c r="O53" s="31"/>
    </row>
    <row r="54" spans="3:15" x14ac:dyDescent="0.2">
      <c r="D54" t="s">
        <v>220</v>
      </c>
      <c r="E54" t="s">
        <v>175</v>
      </c>
      <c r="J54" s="37">
        <f>Input!J82</f>
        <v>2</v>
      </c>
      <c r="K54" s="37">
        <f>Input!K82</f>
        <v>2</v>
      </c>
      <c r="L54" s="37">
        <f>Input!L82</f>
        <v>2</v>
      </c>
      <c r="M54" s="37">
        <f>Input!M82</f>
        <v>2</v>
      </c>
      <c r="N54" s="37">
        <f>Input!N82</f>
        <v>2</v>
      </c>
      <c r="O54" s="31"/>
    </row>
    <row r="55" spans="3:15" x14ac:dyDescent="0.2">
      <c r="D55" t="s">
        <v>221</v>
      </c>
      <c r="E55" t="s">
        <v>175</v>
      </c>
      <c r="J55" s="37">
        <f>Input!J83</f>
        <v>1</v>
      </c>
      <c r="K55" s="37">
        <f>Input!K83</f>
        <v>1</v>
      </c>
      <c r="L55" s="37">
        <f>Input!L83</f>
        <v>1</v>
      </c>
      <c r="M55" s="37">
        <f>Input!M83</f>
        <v>1</v>
      </c>
      <c r="N55" s="37">
        <f>Input!N83</f>
        <v>1</v>
      </c>
      <c r="O55" s="31"/>
    </row>
    <row r="56" spans="3:15" x14ac:dyDescent="0.2">
      <c r="D56" t="s">
        <v>222</v>
      </c>
      <c r="E56" t="s">
        <v>175</v>
      </c>
      <c r="J56" s="37">
        <f>Input!J84</f>
        <v>1</v>
      </c>
      <c r="K56" s="37">
        <f>Input!K84</f>
        <v>1</v>
      </c>
      <c r="L56" s="37">
        <f>Input!L84</f>
        <v>1</v>
      </c>
      <c r="M56" s="37">
        <f>Input!M84</f>
        <v>1</v>
      </c>
      <c r="N56" s="37">
        <f>Input!N84</f>
        <v>1</v>
      </c>
      <c r="O56" s="31"/>
    </row>
    <row r="57" spans="3:15" x14ac:dyDescent="0.2">
      <c r="D57" t="s">
        <v>223</v>
      </c>
      <c r="E57" t="s">
        <v>175</v>
      </c>
      <c r="J57" s="37">
        <f>Input!J85</f>
        <v>1</v>
      </c>
      <c r="K57" s="37">
        <f>Input!K85</f>
        <v>1</v>
      </c>
      <c r="L57" s="37">
        <f>Input!L85</f>
        <v>1</v>
      </c>
      <c r="M57" s="37">
        <f>Input!M85</f>
        <v>1</v>
      </c>
      <c r="N57" s="37">
        <f>Input!N85</f>
        <v>1</v>
      </c>
      <c r="O57" s="31"/>
    </row>
    <row r="58" spans="3:15" x14ac:dyDescent="0.2">
      <c r="D58" t="s">
        <v>158</v>
      </c>
      <c r="E58" t="s">
        <v>175</v>
      </c>
      <c r="J58" s="37">
        <f>Input!J86</f>
        <v>0</v>
      </c>
      <c r="K58" s="37">
        <f>Input!K86</f>
        <v>0</v>
      </c>
      <c r="L58" s="37">
        <f>Input!L86</f>
        <v>0</v>
      </c>
      <c r="M58" s="37">
        <f>Input!M86</f>
        <v>0</v>
      </c>
      <c r="N58" s="37">
        <f>Input!N86</f>
        <v>0</v>
      </c>
      <c r="O58" s="31"/>
    </row>
    <row r="59" spans="3:15" x14ac:dyDescent="0.2">
      <c r="O59" s="31"/>
    </row>
    <row r="60" spans="3:15" ht="15" x14ac:dyDescent="0.25">
      <c r="D60" s="29" t="s">
        <v>157</v>
      </c>
      <c r="O60" s="31"/>
    </row>
    <row r="61" spans="3:15" ht="15" x14ac:dyDescent="0.25">
      <c r="D61" t="s">
        <v>220</v>
      </c>
      <c r="E61" t="s">
        <v>212</v>
      </c>
      <c r="J61">
        <f>Input!J89</f>
        <v>120000</v>
      </c>
      <c r="K61">
        <f>Input!K89</f>
        <v>120000</v>
      </c>
      <c r="L61">
        <f>Input!L89</f>
        <v>120000</v>
      </c>
      <c r="M61">
        <f>Input!M89</f>
        <v>120000</v>
      </c>
      <c r="N61">
        <f>Input!N89</f>
        <v>120000</v>
      </c>
      <c r="O61" s="31"/>
    </row>
    <row r="62" spans="3:15" ht="15" x14ac:dyDescent="0.25">
      <c r="D62" t="s">
        <v>221</v>
      </c>
      <c r="E62" t="s">
        <v>212</v>
      </c>
      <c r="J62">
        <f>Input!J90</f>
        <v>150000</v>
      </c>
      <c r="K62">
        <f>Input!K90</f>
        <v>150000</v>
      </c>
      <c r="L62">
        <f>Input!L90</f>
        <v>150000</v>
      </c>
      <c r="M62">
        <f>Input!M90</f>
        <v>150000</v>
      </c>
      <c r="N62">
        <f>Input!N90</f>
        <v>150000</v>
      </c>
      <c r="O62" s="31"/>
    </row>
    <row r="63" spans="3:15" ht="15" x14ac:dyDescent="0.25">
      <c r="D63" t="s">
        <v>222</v>
      </c>
      <c r="E63" t="s">
        <v>212</v>
      </c>
      <c r="J63">
        <f>Input!J91</f>
        <v>100000</v>
      </c>
      <c r="K63">
        <f>Input!K91</f>
        <v>100000</v>
      </c>
      <c r="L63">
        <f>Input!L91</f>
        <v>100000</v>
      </c>
      <c r="M63">
        <f>Input!M91</f>
        <v>100000</v>
      </c>
      <c r="N63">
        <f>Input!N91</f>
        <v>100000</v>
      </c>
      <c r="O63" s="31"/>
    </row>
    <row r="64" spans="3:15" ht="15" x14ac:dyDescent="0.25">
      <c r="D64" t="s">
        <v>223</v>
      </c>
      <c r="E64" t="s">
        <v>212</v>
      </c>
      <c r="J64">
        <f>Input!J92</f>
        <v>80000</v>
      </c>
      <c r="K64">
        <f>Input!K92</f>
        <v>80000</v>
      </c>
      <c r="L64">
        <f>Input!L92</f>
        <v>80000</v>
      </c>
      <c r="M64">
        <f>Input!M92</f>
        <v>80000</v>
      </c>
      <c r="N64">
        <f>Input!N92</f>
        <v>80000</v>
      </c>
      <c r="O64" s="31"/>
    </row>
    <row r="65" spans="3:15" ht="15" x14ac:dyDescent="0.25">
      <c r="D65" t="s">
        <v>158</v>
      </c>
      <c r="E65" t="s">
        <v>212</v>
      </c>
      <c r="J65">
        <f>Input!J93</f>
        <v>0</v>
      </c>
      <c r="K65">
        <f>Input!K93</f>
        <v>0</v>
      </c>
      <c r="L65">
        <f>Input!L93</f>
        <v>0</v>
      </c>
      <c r="M65">
        <f>Input!M93</f>
        <v>0</v>
      </c>
      <c r="N65">
        <f>Input!N93</f>
        <v>0</v>
      </c>
      <c r="O65" s="31"/>
    </row>
    <row r="66" spans="3:15" x14ac:dyDescent="0.2">
      <c r="O66" s="31"/>
    </row>
    <row r="67" spans="3:15" ht="15" x14ac:dyDescent="0.25">
      <c r="D67" s="29" t="s">
        <v>189</v>
      </c>
      <c r="O67" s="31"/>
    </row>
    <row r="68" spans="3:15" ht="15" x14ac:dyDescent="0.25">
      <c r="D68" t="s">
        <v>220</v>
      </c>
      <c r="E68" t="s">
        <v>177</v>
      </c>
      <c r="J68">
        <f>(J61*J54*J49)*J50</f>
        <v>2880000</v>
      </c>
      <c r="K68">
        <f t="shared" ref="K68:N68" si="19">(K61*K54*K49)*K50</f>
        <v>3600864</v>
      </c>
      <c r="L68">
        <f t="shared" si="19"/>
        <v>4147200</v>
      </c>
      <c r="M68">
        <f t="shared" si="19"/>
        <v>3833280.0000000014</v>
      </c>
      <c r="N68">
        <f t="shared" si="19"/>
        <v>4216608.0000000009</v>
      </c>
      <c r="O68" s="31"/>
    </row>
    <row r="69" spans="3:15" ht="15" x14ac:dyDescent="0.25">
      <c r="D69" t="s">
        <v>221</v>
      </c>
      <c r="E69" t="s">
        <v>177</v>
      </c>
      <c r="J69">
        <f>(J62*J55*J49)*J50</f>
        <v>1800000</v>
      </c>
      <c r="K69">
        <f t="shared" ref="K69:N69" si="20">(K62*K55*K49)*K50</f>
        <v>2250540</v>
      </c>
      <c r="L69">
        <f t="shared" si="20"/>
        <v>2592000</v>
      </c>
      <c r="M69">
        <f t="shared" si="20"/>
        <v>2395800.0000000009</v>
      </c>
      <c r="N69">
        <f t="shared" si="20"/>
        <v>2635380.0000000009</v>
      </c>
      <c r="O69" s="31"/>
    </row>
    <row r="70" spans="3:15" ht="15" x14ac:dyDescent="0.25">
      <c r="D70" t="s">
        <v>222</v>
      </c>
      <c r="E70" t="s">
        <v>177</v>
      </c>
      <c r="J70">
        <f>(J63*J56*J49)*J50</f>
        <v>1200000</v>
      </c>
      <c r="K70">
        <f t="shared" ref="K70:N70" si="21">(K63*K56*K49)*K50</f>
        <v>1500360</v>
      </c>
      <c r="L70">
        <f t="shared" si="21"/>
        <v>1728000</v>
      </c>
      <c r="M70">
        <f t="shared" si="21"/>
        <v>1597200.0000000005</v>
      </c>
      <c r="N70">
        <f t="shared" si="21"/>
        <v>1756920.0000000005</v>
      </c>
      <c r="O70" s="31"/>
    </row>
    <row r="71" spans="3:15" ht="15" x14ac:dyDescent="0.25">
      <c r="D71" t="s">
        <v>223</v>
      </c>
      <c r="E71" t="s">
        <v>177</v>
      </c>
      <c r="J71">
        <f>(J64*J57*J49)*J50</f>
        <v>960000</v>
      </c>
      <c r="K71">
        <f t="shared" ref="K71:N71" si="22">(K64*K57*K49)*K50</f>
        <v>1200288</v>
      </c>
      <c r="L71">
        <f t="shared" si="22"/>
        <v>1382400</v>
      </c>
      <c r="M71">
        <f t="shared" si="22"/>
        <v>1277760.0000000005</v>
      </c>
      <c r="N71">
        <f t="shared" si="22"/>
        <v>1405536.0000000005</v>
      </c>
      <c r="O71" s="31"/>
    </row>
    <row r="72" spans="3:15" ht="15" x14ac:dyDescent="0.25">
      <c r="D72" t="s">
        <v>158</v>
      </c>
      <c r="E72" t="s">
        <v>177</v>
      </c>
      <c r="J72">
        <f>(J65*J58*J49)*J50</f>
        <v>0</v>
      </c>
      <c r="K72">
        <f t="shared" ref="K72:N72" si="23">(K65*K58*K49)*K50</f>
        <v>0</v>
      </c>
      <c r="L72">
        <f t="shared" si="23"/>
        <v>0</v>
      </c>
      <c r="M72">
        <f t="shared" si="23"/>
        <v>0</v>
      </c>
      <c r="N72">
        <f t="shared" si="23"/>
        <v>0</v>
      </c>
      <c r="O72" s="31"/>
    </row>
    <row r="73" spans="3:15" ht="15.75" thickBot="1" x14ac:dyDescent="0.3">
      <c r="D73" s="12" t="s">
        <v>189</v>
      </c>
      <c r="E73" s="12" t="s">
        <v>211</v>
      </c>
      <c r="F73" s="12"/>
      <c r="G73" s="12"/>
      <c r="H73" s="12"/>
      <c r="I73" s="12"/>
      <c r="J73" s="12">
        <f>SUM(J68:J71)</f>
        <v>6840000</v>
      </c>
      <c r="K73" s="12">
        <f t="shared" ref="K73:N73" si="24">SUM(K68:K71)</f>
        <v>8552052</v>
      </c>
      <c r="L73" s="12">
        <f t="shared" si="24"/>
        <v>9849600</v>
      </c>
      <c r="M73" s="12">
        <f t="shared" si="24"/>
        <v>9104040.0000000019</v>
      </c>
      <c r="N73" s="12">
        <f t="shared" si="24"/>
        <v>10014444.000000002</v>
      </c>
      <c r="O73" s="31"/>
    </row>
    <row r="74" spans="3:15" ht="15" thickTop="1" x14ac:dyDescent="0.2">
      <c r="O74" s="31"/>
    </row>
    <row r="75" spans="3:15" ht="15.75" thickBot="1" x14ac:dyDescent="0.3">
      <c r="C75" s="27" t="s">
        <v>190</v>
      </c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31"/>
    </row>
    <row r="76" spans="3:15" ht="15" x14ac:dyDescent="0.25">
      <c r="D76" t="s">
        <v>147</v>
      </c>
      <c r="E76" t="s">
        <v>212</v>
      </c>
      <c r="J76">
        <f>Input!J96</f>
        <v>360000</v>
      </c>
      <c r="K76">
        <f>Input!K96</f>
        <v>360000</v>
      </c>
      <c r="L76">
        <f>Input!L96</f>
        <v>360000</v>
      </c>
      <c r="M76">
        <f>Input!M96</f>
        <v>360000</v>
      </c>
      <c r="N76">
        <f>Input!N96</f>
        <v>360000</v>
      </c>
      <c r="O76" s="31"/>
    </row>
    <row r="77" spans="3:15" ht="15" x14ac:dyDescent="0.25">
      <c r="D77" t="s">
        <v>160</v>
      </c>
      <c r="E77" t="s">
        <v>212</v>
      </c>
      <c r="J77">
        <f>Input!J97</f>
        <v>25000</v>
      </c>
      <c r="K77">
        <f>Input!K97</f>
        <v>25000</v>
      </c>
      <c r="L77">
        <f>Input!L97</f>
        <v>25000</v>
      </c>
      <c r="M77">
        <f>Input!M97</f>
        <v>25000</v>
      </c>
      <c r="N77">
        <f>Input!N97</f>
        <v>25000</v>
      </c>
      <c r="O77" s="31"/>
    </row>
    <row r="78" spans="3:15" ht="15" x14ac:dyDescent="0.25">
      <c r="D78" t="s">
        <v>161</v>
      </c>
      <c r="E78" t="s">
        <v>212</v>
      </c>
      <c r="J78">
        <f>Input!J98</f>
        <v>40000</v>
      </c>
      <c r="K78">
        <f>Input!K98</f>
        <v>40000</v>
      </c>
      <c r="L78">
        <f>Input!L98</f>
        <v>40000</v>
      </c>
      <c r="M78">
        <f>Input!M98</f>
        <v>40000</v>
      </c>
      <c r="N78">
        <f>Input!N98</f>
        <v>40000</v>
      </c>
      <c r="O78" s="31"/>
    </row>
    <row r="79" spans="3:15" ht="15" x14ac:dyDescent="0.25">
      <c r="D79" t="s">
        <v>162</v>
      </c>
      <c r="E79" t="s">
        <v>212</v>
      </c>
      <c r="J79">
        <f>Input!J99</f>
        <v>20000</v>
      </c>
      <c r="K79">
        <f>Input!K99</f>
        <v>20000</v>
      </c>
      <c r="L79">
        <f>Input!L99</f>
        <v>20000</v>
      </c>
      <c r="M79">
        <f>Input!M99</f>
        <v>20000</v>
      </c>
      <c r="N79">
        <f>Input!N99</f>
        <v>20000</v>
      </c>
      <c r="O79" s="31"/>
    </row>
    <row r="80" spans="3:15" ht="15" x14ac:dyDescent="0.25">
      <c r="D80" t="s">
        <v>145</v>
      </c>
      <c r="E80" t="s">
        <v>212</v>
      </c>
      <c r="J80">
        <f>Input!J100</f>
        <v>160000</v>
      </c>
      <c r="K80">
        <f>Input!K100</f>
        <v>160000</v>
      </c>
      <c r="L80">
        <f>Input!L100</f>
        <v>160000</v>
      </c>
      <c r="M80">
        <f>Input!M100</f>
        <v>160000</v>
      </c>
      <c r="N80">
        <f>Input!N100</f>
        <v>160000</v>
      </c>
      <c r="O80" s="31"/>
    </row>
    <row r="81" spans="3:15" ht="15" x14ac:dyDescent="0.25">
      <c r="D81" t="s">
        <v>148</v>
      </c>
      <c r="E81" t="s">
        <v>212</v>
      </c>
      <c r="J81">
        <f>Input!J101</f>
        <v>32000</v>
      </c>
      <c r="K81">
        <f>Input!K101</f>
        <v>32000</v>
      </c>
      <c r="L81">
        <f>Input!L101</f>
        <v>32000</v>
      </c>
      <c r="M81">
        <f>Input!M101</f>
        <v>32000</v>
      </c>
      <c r="N81">
        <f>Input!N101</f>
        <v>32000</v>
      </c>
      <c r="O81" s="31"/>
    </row>
    <row r="82" spans="3:15" ht="15" x14ac:dyDescent="0.25">
      <c r="D82" t="s">
        <v>163</v>
      </c>
      <c r="E82" t="s">
        <v>212</v>
      </c>
      <c r="J82">
        <f>Input!J102</f>
        <v>8000</v>
      </c>
      <c r="K82">
        <f>Input!K102</f>
        <v>8000</v>
      </c>
      <c r="L82">
        <f>Input!L102</f>
        <v>8000</v>
      </c>
      <c r="M82">
        <f>Input!M102</f>
        <v>8000</v>
      </c>
      <c r="N82">
        <f>Input!N102</f>
        <v>8000</v>
      </c>
      <c r="O82" s="31"/>
    </row>
    <row r="83" spans="3:15" x14ac:dyDescent="0.2">
      <c r="O83" s="31"/>
    </row>
    <row r="84" spans="3:15" ht="15" x14ac:dyDescent="0.25">
      <c r="D84" s="29" t="s">
        <v>190</v>
      </c>
      <c r="O84" s="31"/>
    </row>
    <row r="85" spans="3:15" ht="15" x14ac:dyDescent="0.25">
      <c r="D85" t="s">
        <v>147</v>
      </c>
      <c r="E85" t="s">
        <v>177</v>
      </c>
      <c r="J85">
        <f>(J76*J49)*J50</f>
        <v>4320000</v>
      </c>
      <c r="K85">
        <f t="shared" ref="K85:N85" si="25">(K76*K49)*K50</f>
        <v>5401296</v>
      </c>
      <c r="L85">
        <f t="shared" si="25"/>
        <v>6220800</v>
      </c>
      <c r="M85">
        <f t="shared" si="25"/>
        <v>5749920.0000000019</v>
      </c>
      <c r="N85">
        <f t="shared" si="25"/>
        <v>6324912.0000000019</v>
      </c>
      <c r="O85" s="31"/>
    </row>
    <row r="86" spans="3:15" ht="15" x14ac:dyDescent="0.25">
      <c r="D86" t="s">
        <v>160</v>
      </c>
      <c r="E86" t="s">
        <v>177</v>
      </c>
      <c r="J86">
        <f>(J77*J49)*J50</f>
        <v>300000</v>
      </c>
      <c r="K86">
        <f t="shared" ref="K86:N86" si="26">(K77*K49)*K50</f>
        <v>375090</v>
      </c>
      <c r="L86">
        <f t="shared" si="26"/>
        <v>432000</v>
      </c>
      <c r="M86">
        <f t="shared" si="26"/>
        <v>399300.00000000012</v>
      </c>
      <c r="N86">
        <f t="shared" si="26"/>
        <v>439230.00000000012</v>
      </c>
      <c r="O86" s="31"/>
    </row>
    <row r="87" spans="3:15" ht="15" x14ac:dyDescent="0.25">
      <c r="D87" t="s">
        <v>161</v>
      </c>
      <c r="E87" t="s">
        <v>177</v>
      </c>
      <c r="J87">
        <f>(J78*J49)*J50</f>
        <v>480000</v>
      </c>
      <c r="K87">
        <f t="shared" ref="K87:N87" si="27">(K78*K49)*K50</f>
        <v>600144</v>
      </c>
      <c r="L87">
        <f t="shared" si="27"/>
        <v>691200</v>
      </c>
      <c r="M87">
        <f t="shared" si="27"/>
        <v>638880.00000000023</v>
      </c>
      <c r="N87">
        <f t="shared" si="27"/>
        <v>702768.00000000023</v>
      </c>
      <c r="O87" s="31"/>
    </row>
    <row r="88" spans="3:15" ht="15" x14ac:dyDescent="0.25">
      <c r="D88" t="s">
        <v>162</v>
      </c>
      <c r="E88" t="s">
        <v>177</v>
      </c>
      <c r="J88">
        <f>(J79*J49)*J50</f>
        <v>240000</v>
      </c>
      <c r="K88">
        <f t="shared" ref="K88:N88" si="28">(K79*K49)*K50</f>
        <v>300072</v>
      </c>
      <c r="L88">
        <f t="shared" si="28"/>
        <v>345600</v>
      </c>
      <c r="M88">
        <f t="shared" si="28"/>
        <v>319440.00000000012</v>
      </c>
      <c r="N88">
        <f t="shared" si="28"/>
        <v>351384.00000000012</v>
      </c>
      <c r="O88" s="31"/>
    </row>
    <row r="89" spans="3:15" ht="15" x14ac:dyDescent="0.25">
      <c r="D89" t="s">
        <v>145</v>
      </c>
      <c r="E89" t="s">
        <v>177</v>
      </c>
      <c r="J89">
        <f>(J80*J49)*J50</f>
        <v>1920000</v>
      </c>
      <c r="K89">
        <f t="shared" ref="K89:N89" si="29">(K80*K49)*K50</f>
        <v>2400576</v>
      </c>
      <c r="L89">
        <f t="shared" si="29"/>
        <v>2764800</v>
      </c>
      <c r="M89">
        <f t="shared" si="29"/>
        <v>2555520.0000000009</v>
      </c>
      <c r="N89">
        <f t="shared" si="29"/>
        <v>2811072.0000000009</v>
      </c>
      <c r="O89" s="31"/>
    </row>
    <row r="90" spans="3:15" ht="15" x14ac:dyDescent="0.25">
      <c r="D90" t="s">
        <v>148</v>
      </c>
      <c r="E90" t="s">
        <v>177</v>
      </c>
      <c r="J90">
        <f>(J81*J49)*J50</f>
        <v>384000</v>
      </c>
      <c r="K90">
        <f t="shared" ref="K90:N90" si="30">(K81*K49)*K50</f>
        <v>480115.20000000001</v>
      </c>
      <c r="L90">
        <f t="shared" si="30"/>
        <v>552960</v>
      </c>
      <c r="M90">
        <f t="shared" si="30"/>
        <v>511104.00000000017</v>
      </c>
      <c r="N90">
        <f t="shared" si="30"/>
        <v>562214.40000000014</v>
      </c>
      <c r="O90" s="31"/>
    </row>
    <row r="91" spans="3:15" ht="15" x14ac:dyDescent="0.25">
      <c r="D91" t="s">
        <v>163</v>
      </c>
      <c r="E91" t="s">
        <v>177</v>
      </c>
      <c r="J91">
        <f>(J82*J49)*J50</f>
        <v>96000</v>
      </c>
      <c r="K91">
        <f t="shared" ref="K91:N91" si="31">(K82*K49)*K50</f>
        <v>120028.8</v>
      </c>
      <c r="L91">
        <f t="shared" si="31"/>
        <v>138240</v>
      </c>
      <c r="M91">
        <f t="shared" si="31"/>
        <v>127776.00000000004</v>
      </c>
      <c r="N91">
        <f t="shared" si="31"/>
        <v>140553.60000000003</v>
      </c>
      <c r="O91" s="31"/>
    </row>
    <row r="92" spans="3:15" ht="15.75" thickBot="1" x14ac:dyDescent="0.3">
      <c r="D92" s="12" t="s">
        <v>191</v>
      </c>
      <c r="E92" s="12" t="s">
        <v>211</v>
      </c>
      <c r="F92" s="12"/>
      <c r="G92" s="12"/>
      <c r="H92" s="12"/>
      <c r="I92" s="12"/>
      <c r="J92" s="12">
        <f>SUM(J85:J91)</f>
        <v>7740000</v>
      </c>
      <c r="K92" s="12">
        <f t="shared" ref="K92:N92" si="32">SUM(K85:K91)</f>
        <v>9677322</v>
      </c>
      <c r="L92" s="12">
        <f t="shared" si="32"/>
        <v>11145600</v>
      </c>
      <c r="M92" s="12">
        <f t="shared" si="32"/>
        <v>10301940.000000004</v>
      </c>
      <c r="N92" s="12">
        <f t="shared" si="32"/>
        <v>11332134.000000004</v>
      </c>
      <c r="O92" s="31"/>
    </row>
    <row r="93" spans="3:15" ht="15" thickTop="1" x14ac:dyDescent="0.2">
      <c r="O93" s="31"/>
    </row>
    <row r="94" spans="3:15" ht="15.75" thickBot="1" x14ac:dyDescent="0.3">
      <c r="C94" s="27" t="s">
        <v>192</v>
      </c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31"/>
    </row>
    <row r="95" spans="3:15" ht="15" x14ac:dyDescent="0.25">
      <c r="D95" t="s">
        <v>146</v>
      </c>
      <c r="E95" t="s">
        <v>177</v>
      </c>
      <c r="J95">
        <f>SUM(Input!J51:J53,Input!J55)</f>
        <v>11900000</v>
      </c>
      <c r="K95">
        <f>SUM(Input!K51:K53,Input!K55)</f>
        <v>600000</v>
      </c>
      <c r="L95">
        <f>SUM(Input!L51:L53,Input!L55)</f>
        <v>450000</v>
      </c>
      <c r="M95">
        <f>SUM(Input!M51:M53,Input!M55)</f>
        <v>350000</v>
      </c>
      <c r="N95">
        <f>SUM(Input!N51:N53,Input!N55)</f>
        <v>200000</v>
      </c>
      <c r="O95" s="31"/>
    </row>
    <row r="96" spans="3:15" ht="15" x14ac:dyDescent="0.25">
      <c r="D96" t="s">
        <v>189</v>
      </c>
      <c r="E96" t="s">
        <v>177</v>
      </c>
      <c r="J96">
        <f>J73</f>
        <v>6840000</v>
      </c>
      <c r="K96">
        <f t="shared" ref="K96:N96" si="33">K73</f>
        <v>8552052</v>
      </c>
      <c r="L96">
        <f t="shared" si="33"/>
        <v>9849600</v>
      </c>
      <c r="M96">
        <f t="shared" si="33"/>
        <v>9104040.0000000019</v>
      </c>
      <c r="N96">
        <f t="shared" si="33"/>
        <v>10014444.000000002</v>
      </c>
      <c r="O96" s="31"/>
    </row>
    <row r="97" spans="3:15" ht="15" x14ac:dyDescent="0.25">
      <c r="D97" t="s">
        <v>191</v>
      </c>
      <c r="E97" t="s">
        <v>177</v>
      </c>
      <c r="J97">
        <f>J92</f>
        <v>7740000</v>
      </c>
      <c r="K97">
        <f t="shared" ref="K97:N97" si="34">K92</f>
        <v>9677322</v>
      </c>
      <c r="L97">
        <f t="shared" si="34"/>
        <v>11145600</v>
      </c>
      <c r="M97">
        <f t="shared" si="34"/>
        <v>10301940.000000004</v>
      </c>
      <c r="N97">
        <f t="shared" si="34"/>
        <v>11332134.000000004</v>
      </c>
      <c r="O97" s="31"/>
    </row>
    <row r="98" spans="3:15" ht="15.75" thickBot="1" x14ac:dyDescent="0.3">
      <c r="D98" t="s">
        <v>193</v>
      </c>
      <c r="J98" s="12">
        <f>SUM(J95:J97)</f>
        <v>26480000</v>
      </c>
      <c r="K98" s="12">
        <f t="shared" ref="K98:N98" si="35">SUM(K95:K97)</f>
        <v>18829374</v>
      </c>
      <c r="L98" s="12">
        <f t="shared" si="35"/>
        <v>21445200</v>
      </c>
      <c r="M98" s="12">
        <f t="shared" si="35"/>
        <v>19755980.000000007</v>
      </c>
      <c r="N98" s="12">
        <f t="shared" si="35"/>
        <v>21546578.000000007</v>
      </c>
      <c r="O98" s="31"/>
    </row>
    <row r="99" spans="3:15" ht="15" thickTop="1" x14ac:dyDescent="0.2">
      <c r="O99" s="31"/>
    </row>
    <row r="100" spans="3:15" x14ac:dyDescent="0.2">
      <c r="O100" s="31"/>
    </row>
    <row r="101" spans="3:15" ht="15.75" thickBot="1" x14ac:dyDescent="0.3">
      <c r="C101" s="27" t="s">
        <v>112</v>
      </c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31"/>
    </row>
    <row r="102" spans="3:15" x14ac:dyDescent="0.2">
      <c r="D102" t="s">
        <v>194</v>
      </c>
      <c r="J102">
        <f>J6-I6</f>
        <v>365</v>
      </c>
      <c r="K102">
        <f t="shared" ref="K102:N102" si="36">K6-J6</f>
        <v>365</v>
      </c>
      <c r="L102">
        <f t="shared" si="36"/>
        <v>365</v>
      </c>
      <c r="M102">
        <f t="shared" si="36"/>
        <v>366</v>
      </c>
      <c r="N102">
        <f t="shared" si="36"/>
        <v>365</v>
      </c>
      <c r="O102" s="31"/>
    </row>
    <row r="103" spans="3:15" ht="15" x14ac:dyDescent="0.25">
      <c r="D103" t="s">
        <v>185</v>
      </c>
      <c r="E103" t="s">
        <v>177</v>
      </c>
      <c r="J103" s="37">
        <f>J38</f>
        <v>127500000</v>
      </c>
      <c r="K103" s="37">
        <f t="shared" ref="K103:N103" si="37">K38</f>
        <v>138912792.74999997</v>
      </c>
      <c r="L103" s="37">
        <f t="shared" si="37"/>
        <v>154222913.56556451</v>
      </c>
      <c r="M103" s="37">
        <f t="shared" si="37"/>
        <v>175331732.30177838</v>
      </c>
      <c r="N103" s="37">
        <f t="shared" si="37"/>
        <v>203316355.22921816</v>
      </c>
      <c r="O103" s="31"/>
    </row>
    <row r="104" spans="3:15" ht="15" x14ac:dyDescent="0.25">
      <c r="D104" t="s">
        <v>154</v>
      </c>
      <c r="E104" t="s">
        <v>177</v>
      </c>
      <c r="J104" s="37">
        <f>J44</f>
        <v>36900000</v>
      </c>
      <c r="K104" s="37">
        <f t="shared" ref="K104:N104" si="38">K44</f>
        <v>39530970</v>
      </c>
      <c r="L104" s="37">
        <f t="shared" si="38"/>
        <v>52949615.059698291</v>
      </c>
      <c r="M104" s="37">
        <f t="shared" si="38"/>
        <v>81683888.563374862</v>
      </c>
      <c r="N104" s="37">
        <f t="shared" si="38"/>
        <v>116473081.20768283</v>
      </c>
      <c r="O104" s="31"/>
    </row>
    <row r="105" spans="3:15" ht="15" x14ac:dyDescent="0.25">
      <c r="D105" t="s">
        <v>193</v>
      </c>
      <c r="E105" t="s">
        <v>177</v>
      </c>
      <c r="J105" s="37">
        <f>J98</f>
        <v>26480000</v>
      </c>
      <c r="K105" s="37">
        <f t="shared" ref="K105:N105" si="39">K98</f>
        <v>18829374</v>
      </c>
      <c r="L105" s="37">
        <f t="shared" si="39"/>
        <v>21445200</v>
      </c>
      <c r="M105" s="37">
        <f t="shared" si="39"/>
        <v>19755980.000000007</v>
      </c>
      <c r="N105" s="37">
        <f t="shared" si="39"/>
        <v>21546578.000000007</v>
      </c>
      <c r="O105" s="31"/>
    </row>
    <row r="106" spans="3:15" x14ac:dyDescent="0.2">
      <c r="O106" s="31"/>
    </row>
    <row r="107" spans="3:15" ht="15" x14ac:dyDescent="0.25">
      <c r="D107" s="29" t="s">
        <v>127</v>
      </c>
      <c r="O107" s="31"/>
    </row>
    <row r="108" spans="3:15" x14ac:dyDescent="0.2">
      <c r="D108" t="s">
        <v>144</v>
      </c>
      <c r="E108" t="s">
        <v>176</v>
      </c>
      <c r="J108" s="37">
        <f>Input!J106</f>
        <v>50</v>
      </c>
      <c r="K108" s="37">
        <f>Input!K106</f>
        <v>50</v>
      </c>
      <c r="L108" s="37">
        <f>Input!L106</f>
        <v>50</v>
      </c>
      <c r="M108" s="37">
        <f>Input!M106</f>
        <v>50</v>
      </c>
      <c r="N108" s="37">
        <f>Input!N106</f>
        <v>50</v>
      </c>
      <c r="O108" s="31"/>
    </row>
    <row r="109" spans="3:15" x14ac:dyDescent="0.2">
      <c r="D109" t="s">
        <v>165</v>
      </c>
      <c r="E109" t="s">
        <v>176</v>
      </c>
      <c r="J109" s="37">
        <f>Input!J107</f>
        <v>40</v>
      </c>
      <c r="K109" s="37">
        <f>Input!K107</f>
        <v>40</v>
      </c>
      <c r="L109" s="37">
        <f>Input!L107</f>
        <v>40</v>
      </c>
      <c r="M109" s="37">
        <f>Input!M107</f>
        <v>40</v>
      </c>
      <c r="N109" s="37">
        <f>Input!N107</f>
        <v>40</v>
      </c>
      <c r="O109" s="31"/>
    </row>
    <row r="110" spans="3:15" x14ac:dyDescent="0.2">
      <c r="D110" t="s">
        <v>166</v>
      </c>
      <c r="E110" t="s">
        <v>176</v>
      </c>
      <c r="J110" s="37">
        <f>Input!J108</f>
        <v>15</v>
      </c>
      <c r="K110" s="37">
        <f>Input!K108</f>
        <v>15</v>
      </c>
      <c r="L110" s="37">
        <f>Input!L108</f>
        <v>15</v>
      </c>
      <c r="M110" s="37">
        <f>Input!M108</f>
        <v>15</v>
      </c>
      <c r="N110" s="37">
        <f>Input!N108</f>
        <v>15</v>
      </c>
      <c r="O110" s="31"/>
    </row>
    <row r="111" spans="3:15" ht="15" x14ac:dyDescent="0.25">
      <c r="D111" s="29" t="s">
        <v>167</v>
      </c>
      <c r="O111" s="31"/>
    </row>
    <row r="112" spans="3:15" x14ac:dyDescent="0.2">
      <c r="D112" t="s">
        <v>168</v>
      </c>
      <c r="E112" t="s">
        <v>176</v>
      </c>
      <c r="J112" s="37">
        <f>Input!J110</f>
        <v>40</v>
      </c>
      <c r="K112" s="37">
        <f>Input!K110</f>
        <v>40</v>
      </c>
      <c r="L112" s="37">
        <f>Input!L110</f>
        <v>40</v>
      </c>
      <c r="M112" s="37">
        <f>Input!M110</f>
        <v>40</v>
      </c>
      <c r="N112" s="37">
        <f>Input!N110</f>
        <v>40</v>
      </c>
      <c r="O112" s="31"/>
    </row>
    <row r="113" spans="2:15" x14ac:dyDescent="0.2">
      <c r="D113" t="s">
        <v>169</v>
      </c>
      <c r="E113" t="s">
        <v>176</v>
      </c>
      <c r="J113" s="37">
        <f>Input!J111</f>
        <v>20</v>
      </c>
      <c r="K113" s="37">
        <f>Input!K111</f>
        <v>20</v>
      </c>
      <c r="L113" s="37">
        <f>Input!L111</f>
        <v>20</v>
      </c>
      <c r="M113" s="37">
        <f>Input!M111</f>
        <v>20</v>
      </c>
      <c r="N113" s="37">
        <f>Input!N111</f>
        <v>20</v>
      </c>
      <c r="O113" s="31"/>
    </row>
    <row r="114" spans="2:15" x14ac:dyDescent="0.2">
      <c r="O114" s="31"/>
    </row>
    <row r="115" spans="2:15" ht="15.75" thickBot="1" x14ac:dyDescent="0.3">
      <c r="C115" s="27" t="s">
        <v>238</v>
      </c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31"/>
    </row>
    <row r="116" spans="2:15" ht="15" x14ac:dyDescent="0.25">
      <c r="D116" s="29" t="s">
        <v>127</v>
      </c>
      <c r="O116" s="31"/>
    </row>
    <row r="117" spans="2:15" ht="15" x14ac:dyDescent="0.25">
      <c r="D117" t="s">
        <v>144</v>
      </c>
      <c r="E117" t="s">
        <v>177</v>
      </c>
      <c r="J117">
        <f>J108/J102*J104</f>
        <v>5054794.5205479451</v>
      </c>
      <c r="K117">
        <f t="shared" ref="K117:N117" si="40">K108/K102*K104</f>
        <v>5415201.3698630137</v>
      </c>
      <c r="L117">
        <f t="shared" si="40"/>
        <v>7253371.9259860665</v>
      </c>
      <c r="M117">
        <f t="shared" si="40"/>
        <v>11159001.169859955</v>
      </c>
      <c r="N117">
        <f t="shared" si="40"/>
        <v>15955216.603792168</v>
      </c>
      <c r="O117" s="31"/>
    </row>
    <row r="118" spans="2:15" ht="15" x14ac:dyDescent="0.25">
      <c r="D118" t="s">
        <v>165</v>
      </c>
      <c r="E118" t="s">
        <v>177</v>
      </c>
      <c r="J118">
        <f>J109/J102*J103</f>
        <v>13972602.739726027</v>
      </c>
      <c r="K118">
        <f t="shared" ref="K118:N118" si="41">K109/K102*K103</f>
        <v>15223319.753424654</v>
      </c>
      <c r="L118">
        <f t="shared" si="41"/>
        <v>16901141.212664604</v>
      </c>
      <c r="M118">
        <f t="shared" si="41"/>
        <v>19161937.95647851</v>
      </c>
      <c r="N118">
        <f t="shared" si="41"/>
        <v>22281244.408681441</v>
      </c>
      <c r="O118" s="31"/>
    </row>
    <row r="119" spans="2:15" ht="15.75" thickBot="1" x14ac:dyDescent="0.3">
      <c r="D119" t="s">
        <v>166</v>
      </c>
      <c r="E119" t="s">
        <v>177</v>
      </c>
      <c r="J119">
        <f>J110/J102*J105</f>
        <v>1088219.1780821916</v>
      </c>
      <c r="K119">
        <f t="shared" ref="K119:N119" si="42">K110/K102*K105</f>
        <v>773809.89041095891</v>
      </c>
      <c r="L119">
        <f t="shared" si="42"/>
        <v>881309.58904109581</v>
      </c>
      <c r="M119">
        <f t="shared" si="42"/>
        <v>809671.31147541013</v>
      </c>
      <c r="N119">
        <f t="shared" si="42"/>
        <v>885475.80821917835</v>
      </c>
      <c r="O119" s="31"/>
    </row>
    <row r="120" spans="2:15" ht="15.75" thickTop="1" x14ac:dyDescent="0.25">
      <c r="D120" s="30" t="s">
        <v>195</v>
      </c>
      <c r="E120" s="30" t="s">
        <v>211</v>
      </c>
      <c r="F120" s="30"/>
      <c r="G120" s="30"/>
      <c r="H120" s="30"/>
      <c r="I120" s="30"/>
      <c r="J120" s="30">
        <f>SUM(J117:J119)</f>
        <v>20115616.438356161</v>
      </c>
      <c r="K120" s="30">
        <f t="shared" ref="K120:N120" si="43">SUM(K117:K119)</f>
        <v>21412331.013698626</v>
      </c>
      <c r="L120" s="30">
        <f t="shared" si="43"/>
        <v>25035822.727691766</v>
      </c>
      <c r="M120" s="30">
        <f t="shared" si="43"/>
        <v>31130610.437813878</v>
      </c>
      <c r="N120" s="30">
        <f t="shared" si="43"/>
        <v>39121936.820692793</v>
      </c>
      <c r="O120" s="31"/>
    </row>
    <row r="121" spans="2:15" ht="15" x14ac:dyDescent="0.25">
      <c r="D121" s="29" t="s">
        <v>167</v>
      </c>
      <c r="O121" s="31"/>
    </row>
    <row r="122" spans="2:15" ht="15" x14ac:dyDescent="0.25">
      <c r="D122" t="s">
        <v>168</v>
      </c>
      <c r="E122" t="s">
        <v>177</v>
      </c>
      <c r="J122">
        <f>J112/J102*J104</f>
        <v>4043835.6164383558</v>
      </c>
      <c r="K122">
        <f t="shared" ref="K122:N122" si="44">K112/K102*K104</f>
        <v>4332161.0958904112</v>
      </c>
      <c r="L122">
        <f t="shared" si="44"/>
        <v>5802697.5407888535</v>
      </c>
      <c r="M122">
        <f t="shared" si="44"/>
        <v>8927200.9358879626</v>
      </c>
      <c r="N122">
        <f t="shared" si="44"/>
        <v>12764173.283033734</v>
      </c>
      <c r="O122" s="31"/>
    </row>
    <row r="123" spans="2:15" ht="15.75" thickBot="1" x14ac:dyDescent="0.3">
      <c r="D123" t="s">
        <v>169</v>
      </c>
      <c r="E123" t="s">
        <v>177</v>
      </c>
      <c r="J123">
        <f>J113/J102*J105</f>
        <v>1450958.9041095891</v>
      </c>
      <c r="K123">
        <f t="shared" ref="K123:N123" si="45">K113/K102*K105</f>
        <v>1031746.5205479452</v>
      </c>
      <c r="L123">
        <f t="shared" si="45"/>
        <v>1175079.4520547944</v>
      </c>
      <c r="M123">
        <f t="shared" si="45"/>
        <v>1079561.7486338802</v>
      </c>
      <c r="N123">
        <f t="shared" si="45"/>
        <v>1180634.4109589045</v>
      </c>
      <c r="O123" s="31"/>
    </row>
    <row r="124" spans="2:15" ht="15.75" thickTop="1" x14ac:dyDescent="0.25">
      <c r="D124" s="30" t="s">
        <v>196</v>
      </c>
      <c r="E124" s="30" t="s">
        <v>211</v>
      </c>
      <c r="F124" s="30"/>
      <c r="G124" s="30"/>
      <c r="H124" s="30"/>
      <c r="I124" s="30"/>
      <c r="J124" s="30">
        <f>SUM(J122:J123)</f>
        <v>5494794.5205479451</v>
      </c>
      <c r="K124" s="30">
        <f t="shared" ref="K124:N124" si="46">SUM(K122:K123)</f>
        <v>5363907.6164383562</v>
      </c>
      <c r="L124" s="30">
        <f t="shared" si="46"/>
        <v>6977776.9928436484</v>
      </c>
      <c r="M124" s="30">
        <f t="shared" si="46"/>
        <v>10006762.684521843</v>
      </c>
      <c r="N124" s="30">
        <f t="shared" si="46"/>
        <v>13944807.693992639</v>
      </c>
      <c r="O124" s="31"/>
    </row>
    <row r="125" spans="2:15" ht="15.75" thickBot="1" x14ac:dyDescent="0.3">
      <c r="D125" s="12" t="s">
        <v>111</v>
      </c>
      <c r="E125" s="12" t="s">
        <v>211</v>
      </c>
      <c r="F125" s="12"/>
      <c r="G125" s="12"/>
      <c r="H125" s="12"/>
      <c r="I125" s="12"/>
      <c r="J125" s="12">
        <f>J120-J124</f>
        <v>14620821.917808216</v>
      </c>
      <c r="K125" s="12">
        <f t="shared" ref="K125:N125" si="47">K120-K124</f>
        <v>16048423.397260271</v>
      </c>
      <c r="L125" s="12">
        <f t="shared" si="47"/>
        <v>18058045.734848119</v>
      </c>
      <c r="M125" s="12">
        <f t="shared" si="47"/>
        <v>21123847.753292035</v>
      </c>
      <c r="N125" s="12">
        <f t="shared" si="47"/>
        <v>25177129.126700155</v>
      </c>
      <c r="O125" s="31"/>
    </row>
    <row r="126" spans="2:15" ht="15" thickTop="1" x14ac:dyDescent="0.2">
      <c r="O126" s="31"/>
    </row>
    <row r="127" spans="2:15" x14ac:dyDescent="0.2">
      <c r="O127" s="31"/>
    </row>
    <row r="128" spans="2:15" ht="20.25" thickBot="1" x14ac:dyDescent="0.35">
      <c r="B128" s="28" t="s">
        <v>131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31"/>
    </row>
    <row r="129" spans="3:15" ht="16.5" thickTop="1" thickBot="1" x14ac:dyDescent="0.3">
      <c r="C129" s="27" t="s">
        <v>197</v>
      </c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31"/>
    </row>
    <row r="130" spans="3:15" ht="15" x14ac:dyDescent="0.25">
      <c r="D130" t="s">
        <v>133</v>
      </c>
      <c r="E130" t="s">
        <v>177</v>
      </c>
      <c r="H130">
        <f>SUM(J130:N130)</f>
        <v>8000000</v>
      </c>
      <c r="J130" s="37">
        <f>Input!J37</f>
        <v>8000000</v>
      </c>
      <c r="K130" s="37">
        <f>Input!K37</f>
        <v>0</v>
      </c>
      <c r="L130" s="37">
        <f>Input!L37</f>
        <v>0</v>
      </c>
      <c r="M130" s="37">
        <f>Input!M37</f>
        <v>0</v>
      </c>
      <c r="N130" s="37">
        <f>Input!N37</f>
        <v>0</v>
      </c>
      <c r="O130" s="31"/>
    </row>
    <row r="131" spans="3:15" x14ac:dyDescent="0.2">
      <c r="D131" t="s">
        <v>137</v>
      </c>
      <c r="E131" t="s">
        <v>173</v>
      </c>
      <c r="F131">
        <f>Input!F42</f>
        <v>3</v>
      </c>
      <c r="O131" s="31"/>
    </row>
    <row r="132" spans="3:15" x14ac:dyDescent="0.2">
      <c r="D132" t="s">
        <v>138</v>
      </c>
      <c r="E132" t="s">
        <v>172</v>
      </c>
      <c r="F132" s="45">
        <f>Input!F43</f>
        <v>0.27</v>
      </c>
      <c r="J132" s="46">
        <f>$F$132</f>
        <v>0.27</v>
      </c>
      <c r="K132" s="46">
        <f t="shared" ref="K132:N132" si="48">$F$132</f>
        <v>0.27</v>
      </c>
      <c r="L132" s="46">
        <f t="shared" si="48"/>
        <v>0.27</v>
      </c>
      <c r="M132" s="46">
        <f t="shared" si="48"/>
        <v>0.27</v>
      </c>
      <c r="N132" s="46">
        <f t="shared" si="48"/>
        <v>0.27</v>
      </c>
      <c r="O132" s="31"/>
    </row>
    <row r="133" spans="3:15" x14ac:dyDescent="0.2">
      <c r="O133" s="31"/>
    </row>
    <row r="134" spans="3:15" x14ac:dyDescent="0.2">
      <c r="O134" s="31"/>
    </row>
    <row r="135" spans="3:15" ht="15" x14ac:dyDescent="0.25">
      <c r="D135" t="s">
        <v>198</v>
      </c>
      <c r="E135" t="s">
        <v>177</v>
      </c>
      <c r="J135">
        <f>I138</f>
        <v>0</v>
      </c>
      <c r="K135">
        <f t="shared" ref="K135:N135" si="49">J138</f>
        <v>4859684.256612326</v>
      </c>
      <c r="L135">
        <f t="shared" si="49"/>
        <v>1295425.8878673161</v>
      </c>
      <c r="M135">
        <f t="shared" si="49"/>
        <v>0</v>
      </c>
      <c r="N135">
        <f t="shared" si="49"/>
        <v>0</v>
      </c>
      <c r="O135" s="31"/>
    </row>
    <row r="136" spans="3:15" ht="15" x14ac:dyDescent="0.25">
      <c r="D136" t="s">
        <v>199</v>
      </c>
      <c r="E136" t="s">
        <v>177</v>
      </c>
      <c r="J136">
        <f>J130</f>
        <v>8000000</v>
      </c>
      <c r="K136">
        <f t="shared" ref="K136:N136" si="50">K130</f>
        <v>0</v>
      </c>
      <c r="L136">
        <f t="shared" si="50"/>
        <v>0</v>
      </c>
      <c r="M136">
        <f t="shared" si="50"/>
        <v>0</v>
      </c>
      <c r="N136">
        <f t="shared" si="50"/>
        <v>0</v>
      </c>
      <c r="O136" s="31"/>
    </row>
    <row r="137" spans="3:15" ht="15" x14ac:dyDescent="0.25">
      <c r="D137" t="s">
        <v>200</v>
      </c>
      <c r="E137" t="s">
        <v>177</v>
      </c>
      <c r="F137">
        <f>ABS(PMT(F132,F131,H130,))</f>
        <v>4220315.743387674</v>
      </c>
      <c r="H137">
        <f>SUM(J137:N137)</f>
        <v>8000000</v>
      </c>
      <c r="J137">
        <f>MIN($F$137-J140,I138)</f>
        <v>3140315.743387674</v>
      </c>
      <c r="K137">
        <f t="shared" ref="K137:N137" si="51">MIN($F$137-K140,J138)</f>
        <v>3564258.3687450099</v>
      </c>
      <c r="L137">
        <f t="shared" si="51"/>
        <v>1295425.8878673161</v>
      </c>
      <c r="M137">
        <f t="shared" si="51"/>
        <v>0</v>
      </c>
      <c r="N137">
        <f t="shared" si="51"/>
        <v>0</v>
      </c>
      <c r="O137" s="31"/>
    </row>
    <row r="138" spans="3:15" ht="15.75" thickBot="1" x14ac:dyDescent="0.3">
      <c r="D138" s="12" t="s">
        <v>201</v>
      </c>
      <c r="E138" s="12" t="s">
        <v>211</v>
      </c>
      <c r="F138" s="12"/>
      <c r="G138" s="12"/>
      <c r="H138" s="12"/>
      <c r="I138" s="12"/>
      <c r="J138" s="12">
        <f>J135+J136-J137</f>
        <v>4859684.256612326</v>
      </c>
      <c r="K138" s="12">
        <f t="shared" ref="K138:N138" si="52">K135+K136-K137</f>
        <v>1295425.8878673161</v>
      </c>
      <c r="L138" s="12">
        <f t="shared" si="52"/>
        <v>0</v>
      </c>
      <c r="M138" s="12">
        <f t="shared" si="52"/>
        <v>0</v>
      </c>
      <c r="N138" s="12">
        <f t="shared" si="52"/>
        <v>0</v>
      </c>
      <c r="O138" s="31"/>
    </row>
    <row r="139" spans="3:15" ht="15" thickTop="1" x14ac:dyDescent="0.2">
      <c r="O139" s="31"/>
    </row>
    <row r="140" spans="3:15" ht="15" x14ac:dyDescent="0.25">
      <c r="D140" t="s">
        <v>202</v>
      </c>
      <c r="E140" t="s">
        <v>177</v>
      </c>
      <c r="J140">
        <f>AVERAGE(J135:J136)*J132</f>
        <v>1080000</v>
      </c>
      <c r="K140">
        <f t="shared" ref="K140:N140" si="53">AVERAGE(K135:K136)*K132</f>
        <v>656057.3746426641</v>
      </c>
      <c r="L140">
        <f t="shared" si="53"/>
        <v>174882.49486208768</v>
      </c>
      <c r="M140">
        <f t="shared" si="53"/>
        <v>0</v>
      </c>
      <c r="N140">
        <f t="shared" si="53"/>
        <v>0</v>
      </c>
      <c r="O140" s="31"/>
    </row>
    <row r="141" spans="3:15" x14ac:dyDescent="0.2">
      <c r="O141" s="31"/>
    </row>
    <row r="142" spans="3:15" ht="15.75" thickBot="1" x14ac:dyDescent="0.3">
      <c r="C142" s="27" t="s">
        <v>203</v>
      </c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31"/>
    </row>
    <row r="143" spans="3:15" ht="15" x14ac:dyDescent="0.25">
      <c r="D143" t="s">
        <v>134</v>
      </c>
      <c r="E143" t="s">
        <v>177</v>
      </c>
      <c r="J143" s="37">
        <f>Input!J38</f>
        <v>12000000</v>
      </c>
      <c r="O143" s="31"/>
    </row>
    <row r="144" spans="3:15" x14ac:dyDescent="0.2">
      <c r="D144" t="s">
        <v>140</v>
      </c>
      <c r="E144" t="s">
        <v>172</v>
      </c>
      <c r="J144" s="46">
        <f>Input!F43</f>
        <v>0.27</v>
      </c>
      <c r="O144" s="31"/>
    </row>
    <row r="145" spans="3:15" x14ac:dyDescent="0.2">
      <c r="O145" s="31"/>
    </row>
    <row r="146" spans="3:15" ht="15" x14ac:dyDescent="0.25">
      <c r="D146" t="s">
        <v>198</v>
      </c>
      <c r="E146" t="s">
        <v>177</v>
      </c>
      <c r="J146">
        <f>I148</f>
        <v>0</v>
      </c>
      <c r="K146">
        <f t="shared" ref="K146:N146" si="54">J148</f>
        <v>12000000</v>
      </c>
      <c r="L146">
        <f t="shared" si="54"/>
        <v>12000000</v>
      </c>
      <c r="M146">
        <f t="shared" si="54"/>
        <v>12000000</v>
      </c>
      <c r="N146">
        <f t="shared" si="54"/>
        <v>12000000</v>
      </c>
      <c r="O146" s="31"/>
    </row>
    <row r="147" spans="3:15" ht="15" x14ac:dyDescent="0.25">
      <c r="D147" t="s">
        <v>204</v>
      </c>
      <c r="E147" t="s">
        <v>177</v>
      </c>
      <c r="J147">
        <f>J143</f>
        <v>12000000</v>
      </c>
      <c r="O147" s="31"/>
    </row>
    <row r="148" spans="3:15" ht="15.75" thickBot="1" x14ac:dyDescent="0.3">
      <c r="D148" s="12" t="s">
        <v>201</v>
      </c>
      <c r="E148" s="12" t="s">
        <v>211</v>
      </c>
      <c r="F148" s="12"/>
      <c r="G148" s="12"/>
      <c r="H148" s="12"/>
      <c r="I148" s="12"/>
      <c r="J148" s="12">
        <f>J146+J147</f>
        <v>12000000</v>
      </c>
      <c r="K148" s="12">
        <f t="shared" ref="K148:N148" si="55">K146+K147</f>
        <v>12000000</v>
      </c>
      <c r="L148" s="12">
        <f t="shared" si="55"/>
        <v>12000000</v>
      </c>
      <c r="M148" s="12">
        <f t="shared" si="55"/>
        <v>12000000</v>
      </c>
      <c r="N148" s="12">
        <f t="shared" si="55"/>
        <v>12000000</v>
      </c>
      <c r="O148" s="31"/>
    </row>
    <row r="149" spans="3:15" ht="15" thickTop="1" x14ac:dyDescent="0.2">
      <c r="O149" s="31"/>
    </row>
    <row r="150" spans="3:15" ht="15.75" thickBot="1" x14ac:dyDescent="0.3">
      <c r="C150" s="27" t="s">
        <v>205</v>
      </c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31"/>
    </row>
    <row r="151" spans="3:15" x14ac:dyDescent="0.2">
      <c r="D151" t="s">
        <v>140</v>
      </c>
      <c r="E151" t="s">
        <v>172</v>
      </c>
      <c r="J151" s="46">
        <f>$J$144</f>
        <v>0.27</v>
      </c>
      <c r="K151" s="46">
        <f t="shared" ref="K151:N151" si="56">$J$144</f>
        <v>0.27</v>
      </c>
      <c r="L151" s="46">
        <f t="shared" si="56"/>
        <v>0.27</v>
      </c>
      <c r="M151" s="46">
        <f t="shared" si="56"/>
        <v>0.27</v>
      </c>
      <c r="N151" s="46">
        <f t="shared" si="56"/>
        <v>0.27</v>
      </c>
      <c r="O151" s="31"/>
    </row>
    <row r="152" spans="3:15" x14ac:dyDescent="0.2">
      <c r="O152" s="31"/>
    </row>
    <row r="153" spans="3:15" ht="15" x14ac:dyDescent="0.25">
      <c r="D153" t="s">
        <v>198</v>
      </c>
      <c r="E153" t="s">
        <v>177</v>
      </c>
      <c r="J153">
        <f>I156</f>
        <v>0</v>
      </c>
      <c r="K153">
        <f t="shared" ref="K153:N153" si="57">J156</f>
        <v>35939360</v>
      </c>
      <c r="L153">
        <f t="shared" si="57"/>
        <v>81565172.563208655</v>
      </c>
      <c r="M153">
        <f t="shared" si="57"/>
        <v>126893042.71363506</v>
      </c>
      <c r="N153">
        <f t="shared" si="57"/>
        <v>168458520.73686272</v>
      </c>
      <c r="O153" s="31"/>
    </row>
    <row r="154" spans="3:15" ht="15" x14ac:dyDescent="0.25">
      <c r="D154" t="s">
        <v>206</v>
      </c>
      <c r="E154" t="s">
        <v>177</v>
      </c>
      <c r="J154">
        <f>IS!J22*Divisor</f>
        <v>49232000</v>
      </c>
      <c r="K154">
        <f>IS!K22*Divisor</f>
        <v>62501113.100285836</v>
      </c>
      <c r="L154">
        <f>IS!L22*Divisor</f>
        <v>62092972.808803312</v>
      </c>
      <c r="M154">
        <f>IS!M22*Divisor</f>
        <v>56939010.99072279</v>
      </c>
      <c r="N154">
        <f>IS!N22*Divisor</f>
        <v>49378532.817228243</v>
      </c>
      <c r="O154" s="31"/>
    </row>
    <row r="155" spans="3:15" ht="15" x14ac:dyDescent="0.25">
      <c r="D155" t="s">
        <v>207</v>
      </c>
      <c r="E155" t="s">
        <v>177</v>
      </c>
      <c r="J155">
        <f>(J154&gt;0)*(J154*J151)</f>
        <v>13292640</v>
      </c>
      <c r="K155">
        <f>(K154&gt;0)*(K154*K151)</f>
        <v>16875300.537077177</v>
      </c>
      <c r="L155">
        <f t="shared" ref="L155:N155" si="58">(L154&gt;0)*(L154*L151)</f>
        <v>16765102.658376895</v>
      </c>
      <c r="M155">
        <f t="shared" si="58"/>
        <v>15373532.967495155</v>
      </c>
      <c r="N155">
        <f t="shared" si="58"/>
        <v>13332203.860651627</v>
      </c>
      <c r="O155" s="31"/>
    </row>
    <row r="156" spans="3:15" ht="15.75" thickBot="1" x14ac:dyDescent="0.3">
      <c r="D156" s="12" t="s">
        <v>201</v>
      </c>
      <c r="E156" s="12" t="s">
        <v>211</v>
      </c>
      <c r="F156" s="12"/>
      <c r="G156" s="12"/>
      <c r="H156" s="12"/>
      <c r="I156" s="12"/>
      <c r="J156" s="12">
        <f>J153+J154-J155</f>
        <v>35939360</v>
      </c>
      <c r="K156" s="12">
        <f t="shared" ref="K156:N156" si="59">K153+K154-K155</f>
        <v>81565172.563208655</v>
      </c>
      <c r="L156" s="12">
        <f t="shared" si="59"/>
        <v>126893042.71363506</v>
      </c>
      <c r="M156" s="12">
        <f t="shared" si="59"/>
        <v>168458520.73686272</v>
      </c>
      <c r="N156" s="12">
        <f t="shared" si="59"/>
        <v>204504849.69343936</v>
      </c>
      <c r="O156" s="31"/>
    </row>
    <row r="157" spans="3:15" ht="15" thickTop="1" x14ac:dyDescent="0.2"/>
    <row r="159" spans="3:15" ht="15" x14ac:dyDescent="0.25">
      <c r="D159" s="47" t="s">
        <v>228</v>
      </c>
    </row>
    <row r="160" spans="3:15" ht="15" x14ac:dyDescent="0.25">
      <c r="D160" t="s">
        <v>213</v>
      </c>
      <c r="E160" t="s">
        <v>177</v>
      </c>
      <c r="J160">
        <f>Input!J51</f>
        <v>4000000</v>
      </c>
      <c r="K160">
        <f>Input!K51</f>
        <v>200000</v>
      </c>
      <c r="L160">
        <f>Input!L51</f>
        <v>150000</v>
      </c>
      <c r="M160">
        <f>Input!M51</f>
        <v>100000</v>
      </c>
      <c r="N160">
        <f>Input!N51</f>
        <v>75000</v>
      </c>
    </row>
    <row r="161" spans="4:14" ht="17.25" thickBot="1" x14ac:dyDescent="0.35">
      <c r="D161" s="36" t="s">
        <v>214</v>
      </c>
      <c r="E161" t="s">
        <v>177</v>
      </c>
      <c r="J161">
        <f>Input!J52</f>
        <v>3500000</v>
      </c>
      <c r="K161">
        <f>Input!K52</f>
        <v>400000</v>
      </c>
      <c r="L161">
        <f>Input!L52</f>
        <v>300000</v>
      </c>
      <c r="M161">
        <f>Input!M52</f>
        <v>250000</v>
      </c>
      <c r="N161">
        <f>Input!N52</f>
        <v>125000</v>
      </c>
    </row>
    <row r="162" spans="4:14" ht="15.75" thickTop="1" x14ac:dyDescent="0.25">
      <c r="D162" s="30" t="s">
        <v>229</v>
      </c>
      <c r="E162" s="30" t="s">
        <v>211</v>
      </c>
      <c r="F162" s="30"/>
      <c r="G162" s="30"/>
      <c r="H162" s="30"/>
      <c r="I162" s="30"/>
      <c r="J162" s="30">
        <f>SUM(J160:J161)</f>
        <v>7500000</v>
      </c>
      <c r="K162" s="30">
        <f t="shared" ref="K162:N162" si="60">SUM(K160:K161)</f>
        <v>600000</v>
      </c>
      <c r="L162" s="30">
        <f t="shared" si="60"/>
        <v>450000</v>
      </c>
      <c r="M162" s="30">
        <f t="shared" si="60"/>
        <v>350000</v>
      </c>
      <c r="N162" s="30">
        <f t="shared" si="60"/>
        <v>200000</v>
      </c>
    </row>
    <row r="164" spans="4:14" ht="15.75" thickBot="1" x14ac:dyDescent="0.3">
      <c r="D164" s="27" t="s">
        <v>230</v>
      </c>
      <c r="E164" s="27"/>
      <c r="F164" s="27"/>
      <c r="G164" s="27"/>
      <c r="H164" s="27"/>
      <c r="I164" s="27"/>
      <c r="J164" s="27"/>
      <c r="K164" s="27"/>
      <c r="L164" s="27"/>
      <c r="M164" s="27"/>
      <c r="N164" s="27"/>
    </row>
    <row r="165" spans="4:14" ht="15" x14ac:dyDescent="0.25">
      <c r="D165" t="s">
        <v>228</v>
      </c>
      <c r="E165" t="s">
        <v>177</v>
      </c>
      <c r="J165" s="37">
        <f>J162</f>
        <v>7500000</v>
      </c>
      <c r="K165" s="37">
        <f t="shared" ref="K165:N165" si="61">K162</f>
        <v>600000</v>
      </c>
      <c r="L165" s="37">
        <f t="shared" si="61"/>
        <v>450000</v>
      </c>
      <c r="M165" s="37">
        <f t="shared" si="61"/>
        <v>350000</v>
      </c>
      <c r="N165" s="37">
        <f t="shared" si="61"/>
        <v>200000</v>
      </c>
    </row>
    <row r="166" spans="4:14" x14ac:dyDescent="0.2">
      <c r="D166" t="s">
        <v>231</v>
      </c>
      <c r="J166" s="49">
        <f>Input!J32</f>
        <v>0</v>
      </c>
      <c r="K166" s="49">
        <f>Input!K32</f>
        <v>0.5</v>
      </c>
      <c r="L166" s="49">
        <f>Input!L32</f>
        <v>0.5</v>
      </c>
      <c r="M166" s="49">
        <f>Input!M32</f>
        <v>1.5</v>
      </c>
      <c r="N166" s="49">
        <f>Input!N32</f>
        <v>1.5</v>
      </c>
    </row>
    <row r="168" spans="4:14" ht="15" x14ac:dyDescent="0.25">
      <c r="D168" t="s">
        <v>232</v>
      </c>
      <c r="E168" t="s">
        <v>177</v>
      </c>
      <c r="J168">
        <f>I171</f>
        <v>0</v>
      </c>
      <c r="K168">
        <f t="shared" ref="K168:N168" si="62">J171</f>
        <v>6000000</v>
      </c>
      <c r="L168">
        <f t="shared" si="62"/>
        <v>5580000</v>
      </c>
      <c r="M168">
        <f t="shared" si="62"/>
        <v>4878000</v>
      </c>
      <c r="N168">
        <f t="shared" si="62"/>
        <v>5565400</v>
      </c>
    </row>
    <row r="169" spans="4:14" ht="15" x14ac:dyDescent="0.25">
      <c r="D169" t="s">
        <v>233</v>
      </c>
      <c r="E169" t="s">
        <v>177</v>
      </c>
      <c r="J169">
        <f>J165+(I170*J166)</f>
        <v>7500000</v>
      </c>
      <c r="K169">
        <f t="shared" ref="K169:N169" si="63">K165+(J170*K166)</f>
        <v>1350000</v>
      </c>
      <c r="L169">
        <f t="shared" si="63"/>
        <v>1335000</v>
      </c>
      <c r="M169">
        <f t="shared" si="63"/>
        <v>3405500</v>
      </c>
      <c r="N169">
        <f t="shared" si="63"/>
        <v>4277150</v>
      </c>
    </row>
    <row r="170" spans="4:14" ht="15" x14ac:dyDescent="0.25">
      <c r="D170" t="s">
        <v>234</v>
      </c>
      <c r="E170" t="s">
        <v>177</v>
      </c>
      <c r="J170">
        <f>J182</f>
        <v>1500000</v>
      </c>
      <c r="K170">
        <f t="shared" ref="K170:N170" si="64">K182</f>
        <v>1770000</v>
      </c>
      <c r="L170">
        <f t="shared" si="64"/>
        <v>2037000</v>
      </c>
      <c r="M170">
        <f t="shared" si="64"/>
        <v>2718100</v>
      </c>
      <c r="N170">
        <f t="shared" si="64"/>
        <v>3573530</v>
      </c>
    </row>
    <row r="171" spans="4:14" ht="15.75" thickBot="1" x14ac:dyDescent="0.3">
      <c r="D171" s="12" t="s">
        <v>235</v>
      </c>
      <c r="E171" s="12" t="s">
        <v>211</v>
      </c>
      <c r="F171" s="12"/>
      <c r="G171" s="12"/>
      <c r="H171" s="12"/>
      <c r="I171" s="12"/>
      <c r="J171" s="12">
        <f>J168+J169-J170</f>
        <v>6000000</v>
      </c>
      <c r="K171" s="12">
        <f t="shared" ref="K171:N171" si="65">K168+K169-K170</f>
        <v>5580000</v>
      </c>
      <c r="L171" s="12">
        <f t="shared" si="65"/>
        <v>4878000</v>
      </c>
      <c r="M171" s="12">
        <f t="shared" si="65"/>
        <v>5565400</v>
      </c>
      <c r="N171" s="12">
        <f t="shared" si="65"/>
        <v>6269020</v>
      </c>
    </row>
    <row r="172" spans="4:14" ht="15" thickTop="1" x14ac:dyDescent="0.2"/>
    <row r="173" spans="4:14" x14ac:dyDescent="0.2">
      <c r="J173" s="37">
        <f>Input!$F$31</f>
        <v>5</v>
      </c>
      <c r="K173" s="37">
        <f>Input!$F$31</f>
        <v>5</v>
      </c>
      <c r="L173" s="37">
        <f>Input!$F$31</f>
        <v>5</v>
      </c>
      <c r="M173" s="37">
        <f>Input!$F$31</f>
        <v>5</v>
      </c>
      <c r="N173" s="37">
        <f>Input!$F$31</f>
        <v>5</v>
      </c>
    </row>
    <row r="175" spans="4:14" x14ac:dyDescent="0.2">
      <c r="J175" s="51">
        <f>J7</f>
        <v>2025</v>
      </c>
      <c r="K175" s="51">
        <f t="shared" ref="K175:N175" si="66">K7</f>
        <v>2026</v>
      </c>
      <c r="L175" s="51">
        <f t="shared" si="66"/>
        <v>2027</v>
      </c>
      <c r="M175" s="51">
        <f t="shared" si="66"/>
        <v>2028</v>
      </c>
      <c r="N175" s="51">
        <f t="shared" si="66"/>
        <v>2029</v>
      </c>
    </row>
    <row r="176" spans="4:14" x14ac:dyDescent="0.2">
      <c r="H176" s="32" t="s">
        <v>86</v>
      </c>
      <c r="I176" s="52"/>
    </row>
    <row r="177" spans="8:14" x14ac:dyDescent="0.2">
      <c r="H177" s="21">
        <f t="array" ref="H177:H181">TRANSPOSE(J175:N175)</f>
        <v>2025</v>
      </c>
      <c r="I177" s="52">
        <f t="array" ref="I177:I181">TRANSPOSE(J169:N169)</f>
        <v>7500000</v>
      </c>
      <c r="J177">
        <f>$I177/J$173</f>
        <v>1500000</v>
      </c>
      <c r="K177">
        <f t="shared" ref="K177:N179" si="67">$I177/K$173</f>
        <v>1500000</v>
      </c>
      <c r="L177">
        <f t="shared" si="67"/>
        <v>1500000</v>
      </c>
      <c r="M177">
        <f t="shared" si="67"/>
        <v>1500000</v>
      </c>
      <c r="N177">
        <f t="shared" si="67"/>
        <v>1500000</v>
      </c>
    </row>
    <row r="178" spans="8:14" x14ac:dyDescent="0.2">
      <c r="H178" s="21">
        <v>2026</v>
      </c>
      <c r="I178" s="52">
        <v>1350000</v>
      </c>
      <c r="K178">
        <f>$I178/K$173</f>
        <v>270000</v>
      </c>
      <c r="L178">
        <f t="shared" si="67"/>
        <v>270000</v>
      </c>
      <c r="M178">
        <f t="shared" si="67"/>
        <v>270000</v>
      </c>
      <c r="N178">
        <f t="shared" si="67"/>
        <v>270000</v>
      </c>
    </row>
    <row r="179" spans="8:14" x14ac:dyDescent="0.2">
      <c r="H179" s="21">
        <v>2027</v>
      </c>
      <c r="I179" s="52">
        <v>1335000</v>
      </c>
      <c r="L179">
        <f>$I179/L$173</f>
        <v>267000</v>
      </c>
      <c r="M179">
        <f t="shared" si="67"/>
        <v>267000</v>
      </c>
      <c r="N179">
        <f t="shared" si="67"/>
        <v>267000</v>
      </c>
    </row>
    <row r="180" spans="8:14" x14ac:dyDescent="0.2">
      <c r="H180" s="21">
        <v>2028</v>
      </c>
      <c r="I180" s="52">
        <v>3405500</v>
      </c>
      <c r="M180">
        <f>$I180/M$173</f>
        <v>681100</v>
      </c>
      <c r="N180">
        <f>$I180/N$173</f>
        <v>681100</v>
      </c>
    </row>
    <row r="181" spans="8:14" x14ac:dyDescent="0.2">
      <c r="H181" s="21">
        <v>2029</v>
      </c>
      <c r="I181" s="53">
        <v>4277150</v>
      </c>
      <c r="N181">
        <f>$I181/N$173</f>
        <v>855430</v>
      </c>
    </row>
    <row r="182" spans="8:14" ht="15.75" thickBot="1" x14ac:dyDescent="0.3">
      <c r="H182" s="12" t="s">
        <v>236</v>
      </c>
      <c r="I182" s="12"/>
      <c r="J182" s="12">
        <f>SUM(J177:J181)</f>
        <v>1500000</v>
      </c>
      <c r="K182" s="12">
        <f t="shared" ref="K182:N182" si="68">SUM(K177:K181)</f>
        <v>1770000</v>
      </c>
      <c r="L182" s="12">
        <f t="shared" si="68"/>
        <v>2037000</v>
      </c>
      <c r="M182" s="12">
        <f t="shared" si="68"/>
        <v>2718100</v>
      </c>
      <c r="N182" s="12">
        <f t="shared" si="68"/>
        <v>3573530</v>
      </c>
    </row>
    <row r="183" spans="8:14" ht="15" thickTop="1" x14ac:dyDescent="0.2"/>
  </sheetData>
  <mergeCells count="2">
    <mergeCell ref="J17:N17"/>
    <mergeCell ref="J1:N1"/>
  </mergeCells>
  <hyperlinks>
    <hyperlink ref="N2" location="'Model Guide'!A1" tooltip="Go to Model Guide Sheet" display="Menu" xr:uid="{9CF46E5D-4873-4AAE-BC65-0E190AE59B49}"/>
  </hyperlinks>
  <pageMargins left="0.70866141732283472" right="0.70866141732283472" top="0.74803149606299213" bottom="0.74803149606299213" header="0.31496062992125984" footer="0.31496062992125984"/>
  <pageSetup scale="64" fitToHeight="0" orientation="landscape" r:id="rId1"/>
  <headerFooter>
    <oddFooter>&amp;L&amp;D&amp;COluwatimilehin Fafiola&amp;R&amp;P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057F-D59F-40A5-84F7-A3B18369FF73}">
  <sheetPr>
    <tabColor theme="0" tint="0.499984740745262"/>
    <pageSetUpPr fitToPage="1"/>
  </sheetPr>
  <dimension ref="A2:O23"/>
  <sheetViews>
    <sheetView showGridLines="0" tabSelected="1" workbookViewId="0">
      <pane xSplit="4" ySplit="8" topLeftCell="E9" activePane="bottomRight" state="frozen"/>
      <selection activeCell="J18" sqref="J18"/>
      <selection pane="topRight" activeCell="J18" sqref="J18"/>
      <selection pane="bottomLeft" activeCell="J18" sqref="J18"/>
      <selection pane="bottomRight" activeCell="J18" sqref="J18"/>
    </sheetView>
  </sheetViews>
  <sheetFormatPr defaultColWidth="0" defaultRowHeight="14.25" x14ac:dyDescent="0.2"/>
  <cols>
    <col min="1" max="3" width="3.375" customWidth="1"/>
    <col min="4" max="4" width="33.125" customWidth="1"/>
    <col min="5" max="5" width="9.75" customWidth="1"/>
    <col min="6" max="6" width="11" customWidth="1"/>
    <col min="7" max="8" width="9" customWidth="1"/>
    <col min="9" max="9" width="10.25" customWidth="1"/>
    <col min="10" max="14" width="12.625" customWidth="1"/>
    <col min="15" max="15" width="9" customWidth="1"/>
    <col min="16" max="16384" width="9" hidden="1"/>
  </cols>
  <sheetData>
    <row r="2" spans="2:14" ht="38.25" x14ac:dyDescent="0.7">
      <c r="B2" s="15" t="str">
        <f>Company_Name</f>
        <v xml:space="preserve">Tage Corp 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25" t="s">
        <v>94</v>
      </c>
    </row>
    <row r="3" spans="2:14" ht="27.75" x14ac:dyDescent="0.5">
      <c r="B3" s="16"/>
      <c r="C3" s="16" t="str">
        <f>'Model Guide'!D26</f>
        <v>Income Statement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14" x14ac:dyDescent="0.2">
      <c r="D4" t="s">
        <v>89</v>
      </c>
    </row>
    <row r="5" spans="2:14" ht="15" x14ac:dyDescent="0.25">
      <c r="D5" t="s">
        <v>92</v>
      </c>
      <c r="H5" s="24" t="s">
        <v>84</v>
      </c>
      <c r="I5" s="22"/>
      <c r="J5" s="23">
        <f>I6+Ctrl_1</f>
        <v>45658</v>
      </c>
      <c r="K5" s="23">
        <f>J6+Ctrl_1</f>
        <v>46023</v>
      </c>
      <c r="L5" s="23">
        <f>K6+Ctrl_1</f>
        <v>46388</v>
      </c>
      <c r="M5" s="23">
        <f>L6+Ctrl_1</f>
        <v>46753</v>
      </c>
      <c r="N5" s="23">
        <f>M6+Ctrl_1</f>
        <v>47119</v>
      </c>
    </row>
    <row r="6" spans="2:14" ht="15" x14ac:dyDescent="0.25">
      <c r="H6" s="24" t="s">
        <v>85</v>
      </c>
      <c r="I6" s="23">
        <f>EOMONTH(J6,- Ctrl_12)</f>
        <v>45657</v>
      </c>
      <c r="J6" s="23">
        <f>EOMONTH(K6,- Ctrl_12)</f>
        <v>46022</v>
      </c>
      <c r="K6" s="23">
        <f>EOMONTH(L6,- Ctrl_12)</f>
        <v>46387</v>
      </c>
      <c r="L6" s="23">
        <f>EOMONTH(M6,- Ctrl_12)</f>
        <v>46752</v>
      </c>
      <c r="M6" s="23">
        <f>EOMONTH(N6,- Ctrl_12)</f>
        <v>47118</v>
      </c>
      <c r="N6" s="23">
        <f>Model_Period_End</f>
        <v>47483</v>
      </c>
    </row>
    <row r="7" spans="2:14" ht="15" x14ac:dyDescent="0.25">
      <c r="H7" s="24" t="s">
        <v>86</v>
      </c>
      <c r="I7" s="21">
        <f>YEAR(I6)</f>
        <v>2024</v>
      </c>
      <c r="J7" s="21">
        <f t="shared" ref="J7:N7" si="0">YEAR(J6)</f>
        <v>2025</v>
      </c>
      <c r="K7" s="21">
        <f t="shared" si="0"/>
        <v>2026</v>
      </c>
      <c r="L7" s="21">
        <f t="shared" si="0"/>
        <v>2027</v>
      </c>
      <c r="M7" s="21">
        <f t="shared" si="0"/>
        <v>2028</v>
      </c>
      <c r="N7" s="21">
        <f t="shared" si="0"/>
        <v>2029</v>
      </c>
    </row>
    <row r="8" spans="2:14" ht="15" x14ac:dyDescent="0.25">
      <c r="D8" s="24" t="s">
        <v>91</v>
      </c>
      <c r="E8" s="24" t="s">
        <v>170</v>
      </c>
      <c r="F8" s="24" t="s">
        <v>209</v>
      </c>
      <c r="H8" s="24" t="s">
        <v>87</v>
      </c>
      <c r="I8" s="24" t="s">
        <v>90</v>
      </c>
      <c r="J8" s="24" t="s">
        <v>90</v>
      </c>
      <c r="K8" s="24" t="s">
        <v>90</v>
      </c>
      <c r="L8" s="24" t="s">
        <v>90</v>
      </c>
      <c r="M8" s="24" t="s">
        <v>90</v>
      </c>
      <c r="N8" s="24" t="s">
        <v>90</v>
      </c>
    </row>
    <row r="9" spans="2:14" x14ac:dyDescent="0.2">
      <c r="F9" t="s">
        <v>93</v>
      </c>
      <c r="I9">
        <f t="shared" ref="I9:N9" si="1">I7-$I$7</f>
        <v>0</v>
      </c>
      <c r="J9">
        <f t="shared" si="1"/>
        <v>1</v>
      </c>
      <c r="K9">
        <f t="shared" si="1"/>
        <v>2</v>
      </c>
      <c r="L9">
        <f t="shared" si="1"/>
        <v>3</v>
      </c>
      <c r="M9">
        <f t="shared" si="1"/>
        <v>4</v>
      </c>
      <c r="N9">
        <f t="shared" si="1"/>
        <v>5</v>
      </c>
    </row>
    <row r="10" spans="2:14" ht="15" x14ac:dyDescent="0.25">
      <c r="D10" t="s">
        <v>185</v>
      </c>
      <c r="E10" s="24" t="s">
        <v>250</v>
      </c>
      <c r="J10">
        <f>Cal!J38/Divisor</f>
        <v>127500</v>
      </c>
      <c r="K10">
        <f>Cal!K38/Divisor</f>
        <v>138912.79274999996</v>
      </c>
      <c r="L10">
        <f>Cal!L38/Divisor</f>
        <v>154222.91356556452</v>
      </c>
      <c r="M10">
        <f>Cal!M38/Divisor</f>
        <v>175331.73230177836</v>
      </c>
      <c r="N10">
        <f>Cal!N38/Divisor</f>
        <v>203316.35522921814</v>
      </c>
    </row>
    <row r="11" spans="2:14" ht="15.75" thickBot="1" x14ac:dyDescent="0.3">
      <c r="D11" t="s">
        <v>239</v>
      </c>
      <c r="E11" s="24" t="s">
        <v>250</v>
      </c>
      <c r="J11">
        <f>Cal!J44/Divisor</f>
        <v>36900</v>
      </c>
      <c r="K11">
        <f>Cal!K44/Divisor</f>
        <v>39530.97</v>
      </c>
      <c r="L11">
        <f>Cal!L44/Divisor</f>
        <v>52949.615059698292</v>
      </c>
      <c r="M11">
        <f>Cal!M44/Divisor</f>
        <v>81683.888563374858</v>
      </c>
      <c r="N11">
        <f>Cal!N44/Divisor</f>
        <v>116473.08120768283</v>
      </c>
    </row>
    <row r="12" spans="2:14" ht="15.75" thickTop="1" x14ac:dyDescent="0.25">
      <c r="D12" s="30" t="s">
        <v>240</v>
      </c>
      <c r="E12" s="30" t="s">
        <v>250</v>
      </c>
      <c r="F12" s="30"/>
      <c r="G12" s="30"/>
      <c r="H12" s="30"/>
      <c r="I12" s="30"/>
      <c r="J12" s="30">
        <f>J10-J11</f>
        <v>90600</v>
      </c>
      <c r="K12" s="30">
        <f t="shared" ref="K12:N12" si="2">K10-K11</f>
        <v>99381.822749999963</v>
      </c>
      <c r="L12" s="30">
        <f t="shared" si="2"/>
        <v>101273.29850586623</v>
      </c>
      <c r="M12" s="30">
        <f t="shared" si="2"/>
        <v>93647.843738403506</v>
      </c>
      <c r="N12" s="30">
        <f t="shared" si="2"/>
        <v>86843.274021535311</v>
      </c>
    </row>
    <row r="13" spans="2:14" ht="15" x14ac:dyDescent="0.25">
      <c r="D13" s="55" t="s">
        <v>248</v>
      </c>
      <c r="E13" s="55" t="s">
        <v>172</v>
      </c>
      <c r="F13" s="55"/>
      <c r="G13" s="55"/>
      <c r="H13" s="55"/>
      <c r="I13" s="55"/>
      <c r="J13" s="55">
        <f>J12/J10</f>
        <v>0.71058823529411763</v>
      </c>
      <c r="K13" s="55">
        <f t="shared" ref="K13:N13" si="3">K12/K10</f>
        <v>0.71542599340621194</v>
      </c>
      <c r="L13" s="55">
        <f t="shared" si="3"/>
        <v>0.65666830021864475</v>
      </c>
      <c r="M13" s="55">
        <f t="shared" si="3"/>
        <v>0.53411805443876093</v>
      </c>
      <c r="N13" s="55">
        <f t="shared" si="3"/>
        <v>0.42713373414366251</v>
      </c>
    </row>
    <row r="14" spans="2:14" ht="15.75" thickBot="1" x14ac:dyDescent="0.3">
      <c r="D14" t="s">
        <v>193</v>
      </c>
      <c r="E14" s="24" t="s">
        <v>250</v>
      </c>
      <c r="J14">
        <f>Cal!J98/Divisor</f>
        <v>26480</v>
      </c>
      <c r="K14">
        <f>Cal!K98/Divisor</f>
        <v>18829.374</v>
      </c>
      <c r="L14">
        <f>Cal!L98/Divisor</f>
        <v>21445.200000000001</v>
      </c>
      <c r="M14">
        <f>Cal!M98/Divisor</f>
        <v>19755.980000000007</v>
      </c>
      <c r="N14">
        <f>Cal!N98/Divisor</f>
        <v>21546.578000000009</v>
      </c>
    </row>
    <row r="15" spans="2:14" ht="15.75" thickTop="1" x14ac:dyDescent="0.25">
      <c r="D15" s="30" t="s">
        <v>241</v>
      </c>
      <c r="E15" s="30" t="s">
        <v>250</v>
      </c>
      <c r="F15" s="30"/>
      <c r="G15" s="30"/>
      <c r="H15" s="30"/>
      <c r="I15" s="30"/>
      <c r="J15" s="30">
        <f>J12-J14</f>
        <v>64120</v>
      </c>
      <c r="K15" s="30">
        <f t="shared" ref="K15:N15" si="4">K12-K14</f>
        <v>80552.448749999967</v>
      </c>
      <c r="L15" s="30">
        <f t="shared" si="4"/>
        <v>79828.098505866234</v>
      </c>
      <c r="M15" s="30">
        <f t="shared" si="4"/>
        <v>73891.863738403496</v>
      </c>
      <c r="N15" s="30">
        <f t="shared" si="4"/>
        <v>65296.696021535303</v>
      </c>
    </row>
    <row r="16" spans="2:14" ht="15" x14ac:dyDescent="0.25">
      <c r="D16" s="55" t="s">
        <v>242</v>
      </c>
      <c r="E16" s="55" t="s">
        <v>172</v>
      </c>
      <c r="F16" s="55"/>
      <c r="G16" s="55"/>
      <c r="H16" s="55"/>
      <c r="I16" s="55"/>
      <c r="J16" s="55">
        <f>J15/J10</f>
        <v>0.50290196078431371</v>
      </c>
      <c r="K16" s="55">
        <f t="shared" ref="K16:N16" si="5">K15/K10</f>
        <v>0.57987782950249545</v>
      </c>
      <c r="L16" s="55">
        <f t="shared" si="5"/>
        <v>0.51761503307307866</v>
      </c>
      <c r="M16" s="55">
        <f t="shared" si="5"/>
        <v>0.42144033352286692</v>
      </c>
      <c r="N16" s="55">
        <f t="shared" si="5"/>
        <v>0.32115810824918656</v>
      </c>
    </row>
    <row r="17" spans="4:14" ht="15.75" thickBot="1" x14ac:dyDescent="0.3">
      <c r="D17" t="s">
        <v>243</v>
      </c>
      <c r="E17" s="24" t="s">
        <v>250</v>
      </c>
      <c r="J17">
        <f>Cal!J170/Divisor</f>
        <v>1500</v>
      </c>
      <c r="K17">
        <f>Cal!K170/Divisor</f>
        <v>1770</v>
      </c>
      <c r="L17">
        <f>Cal!L170/Divisor</f>
        <v>2037</v>
      </c>
      <c r="M17">
        <f>Cal!M170/Divisor</f>
        <v>2718.1</v>
      </c>
      <c r="N17">
        <f>Cal!N170/Divisor</f>
        <v>3573.53</v>
      </c>
    </row>
    <row r="18" spans="4:14" ht="15.75" thickTop="1" x14ac:dyDescent="0.25">
      <c r="D18" s="30" t="s">
        <v>42</v>
      </c>
      <c r="E18" s="30" t="s">
        <v>250</v>
      </c>
      <c r="F18" s="30"/>
      <c r="G18" s="30"/>
      <c r="H18" s="30"/>
      <c r="I18" s="30"/>
      <c r="J18" s="30">
        <f>J15-J17</f>
        <v>62620</v>
      </c>
      <c r="K18" s="30">
        <f t="shared" ref="K18:N18" si="6">K15-K17</f>
        <v>78782.448749999967</v>
      </c>
      <c r="L18" s="30">
        <f t="shared" si="6"/>
        <v>77791.098505866234</v>
      </c>
      <c r="M18" s="30">
        <f t="shared" si="6"/>
        <v>71173.76373840349</v>
      </c>
      <c r="N18" s="30">
        <f t="shared" si="6"/>
        <v>61723.166021535304</v>
      </c>
    </row>
    <row r="19" spans="4:14" ht="15.75" thickBot="1" x14ac:dyDescent="0.3">
      <c r="D19" t="s">
        <v>244</v>
      </c>
      <c r="E19" s="24" t="s">
        <v>250</v>
      </c>
      <c r="J19">
        <f>Cal!J140/Divisor</f>
        <v>1080</v>
      </c>
      <c r="K19">
        <f>Cal!K140/Divisor</f>
        <v>656.05737464266406</v>
      </c>
      <c r="L19">
        <f>Cal!L140/Divisor</f>
        <v>174.88249486208767</v>
      </c>
      <c r="M19">
        <f>Cal!M140/Divisor</f>
        <v>0</v>
      </c>
      <c r="N19">
        <f>Cal!N140/Divisor</f>
        <v>0</v>
      </c>
    </row>
    <row r="20" spans="4:14" ht="15.75" thickTop="1" x14ac:dyDescent="0.25">
      <c r="D20" s="30" t="s">
        <v>245</v>
      </c>
      <c r="E20" s="30" t="s">
        <v>250</v>
      </c>
      <c r="F20" s="30"/>
      <c r="G20" s="30"/>
      <c r="H20" s="30"/>
      <c r="I20" s="30"/>
      <c r="J20" s="30">
        <f>J18-J19</f>
        <v>61540</v>
      </c>
      <c r="K20" s="30">
        <f t="shared" ref="K20:N20" si="7">K18-K19</f>
        <v>78126.3913753573</v>
      </c>
      <c r="L20" s="30">
        <f t="shared" si="7"/>
        <v>77616.216011004144</v>
      </c>
      <c r="M20" s="30">
        <f t="shared" si="7"/>
        <v>71173.76373840349</v>
      </c>
      <c r="N20" s="30">
        <f t="shared" si="7"/>
        <v>61723.166021535304</v>
      </c>
    </row>
    <row r="21" spans="4:14" ht="15" x14ac:dyDescent="0.25">
      <c r="D21" t="s">
        <v>246</v>
      </c>
      <c r="E21" s="24" t="s">
        <v>250</v>
      </c>
      <c r="J21">
        <f>(J20&gt;0)*(J20*Input!$F$28)</f>
        <v>12308</v>
      </c>
      <c r="K21">
        <f>(K20&gt;0)*(K20*Input!$F$28)</f>
        <v>15625.278275071461</v>
      </c>
      <c r="L21">
        <f>(L20&gt;0)*(L20*Input!$F$28)</f>
        <v>15523.243202200829</v>
      </c>
      <c r="M21">
        <f>(M20&gt;0)*(M20*Input!$F$28)</f>
        <v>14234.752747680699</v>
      </c>
      <c r="N21">
        <f>(N20&gt;0)*(N20*Input!$F$28)</f>
        <v>12344.633204307062</v>
      </c>
    </row>
    <row r="22" spans="4:14" ht="15.75" thickBot="1" x14ac:dyDescent="0.3">
      <c r="D22" s="12" t="s">
        <v>247</v>
      </c>
      <c r="E22" s="12" t="s">
        <v>250</v>
      </c>
      <c r="F22" s="12"/>
      <c r="G22" s="12"/>
      <c r="H22" s="12"/>
      <c r="I22" s="12"/>
      <c r="J22" s="12">
        <f>J20-J21</f>
        <v>49232</v>
      </c>
      <c r="K22" s="12">
        <f t="shared" ref="K22:N22" si="8">K20-K21</f>
        <v>62501.113100285838</v>
      </c>
      <c r="L22" s="12">
        <f t="shared" si="8"/>
        <v>62092.972808803315</v>
      </c>
      <c r="M22" s="12">
        <f t="shared" si="8"/>
        <v>56939.010990722789</v>
      </c>
      <c r="N22" s="12">
        <f t="shared" si="8"/>
        <v>49378.532817228246</v>
      </c>
    </row>
    <row r="23" spans="4:14" ht="15.75" thickTop="1" x14ac:dyDescent="0.25">
      <c r="D23" s="56" t="s">
        <v>249</v>
      </c>
      <c r="E23" s="57" t="s">
        <v>172</v>
      </c>
      <c r="F23" s="56"/>
      <c r="G23" s="56"/>
      <c r="H23" s="56"/>
      <c r="I23" s="56"/>
      <c r="J23" s="56">
        <f>J22/J10</f>
        <v>0.38613333333333333</v>
      </c>
      <c r="K23" s="56">
        <f t="shared" ref="K23:N23" si="9">K22/K10</f>
        <v>0.44993057776016709</v>
      </c>
      <c r="L23" s="56">
        <f t="shared" si="9"/>
        <v>0.40261833584414702</v>
      </c>
      <c r="M23" s="56">
        <f t="shared" si="9"/>
        <v>0.32475017638404557</v>
      </c>
      <c r="N23" s="56">
        <f t="shared" si="9"/>
        <v>0.24286552236075185</v>
      </c>
    </row>
  </sheetData>
  <hyperlinks>
    <hyperlink ref="N2" location="'Model Guide'!A1" tooltip="Go to Model Guide Sheet" display="Menu" xr:uid="{A258D594-E4C3-468E-B883-D040D19D2650}"/>
  </hyperlinks>
  <pageMargins left="0.70866141732283472" right="0.70866141732283472" top="0.74803149606299213" bottom="0.74803149606299213" header="0.31496062992125984" footer="0.31496062992125984"/>
  <pageSetup scale="72" fitToHeight="0" orientation="landscape" r:id="rId1"/>
  <headerFooter>
    <oddFooter>&amp;L&amp;D&amp;COluwatimilehin Fafiola&amp;R&amp;P of &amp;N</oddFooter>
  </headerFooter>
  <ignoredErrors>
    <ignoredError sqref="J21 K21:N21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4" name="Drop Down 2">
              <controlPr defaultSize="0" autoLine="0" autoPict="0">
                <anchor moveWithCells="1">
                  <from>
                    <xdr:col>11</xdr:col>
                    <xdr:colOff>571500</xdr:colOff>
                    <xdr:row>1</xdr:row>
                    <xdr:rowOff>161925</xdr:rowOff>
                  </from>
                  <to>
                    <xdr:col>12</xdr:col>
                    <xdr:colOff>457200</xdr:colOff>
                    <xdr:row>1</xdr:row>
                    <xdr:rowOff>419100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02120-DC68-4188-BDAC-5EFC5F9BC4DF}">
  <sheetPr>
    <tabColor theme="0" tint="0.499984740745262"/>
    <pageSetUpPr fitToPage="1"/>
  </sheetPr>
  <dimension ref="A2:O36"/>
  <sheetViews>
    <sheetView showGridLines="0" tabSelected="1" workbookViewId="0">
      <pane xSplit="4" ySplit="8" topLeftCell="F29" activePane="bottomRight" state="frozen"/>
      <selection activeCell="J18" sqref="J18"/>
      <selection pane="topRight" activeCell="J18" sqref="J18"/>
      <selection pane="bottomLeft" activeCell="J18" sqref="J18"/>
      <selection pane="bottomRight" activeCell="J18" sqref="J18"/>
    </sheetView>
  </sheetViews>
  <sheetFormatPr defaultColWidth="0" defaultRowHeight="14.25" x14ac:dyDescent="0.2"/>
  <cols>
    <col min="1" max="3" width="3.375" customWidth="1"/>
    <col min="4" max="4" width="33.125" customWidth="1"/>
    <col min="5" max="5" width="9.75" customWidth="1"/>
    <col min="6" max="6" width="11.125" customWidth="1"/>
    <col min="7" max="8" width="9" customWidth="1"/>
    <col min="9" max="14" width="13.375" customWidth="1"/>
    <col min="15" max="15" width="9" customWidth="1"/>
    <col min="16" max="16384" width="9" hidden="1"/>
  </cols>
  <sheetData>
    <row r="2" spans="2:14" ht="38.25" x14ac:dyDescent="0.7">
      <c r="B2" s="15" t="str">
        <f>Company_Name</f>
        <v xml:space="preserve">Tage Corp 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25" t="s">
        <v>94</v>
      </c>
    </row>
    <row r="3" spans="2:14" ht="27.75" x14ac:dyDescent="0.5">
      <c r="B3" s="16"/>
      <c r="C3" s="16" t="str">
        <f>'Model Guide'!D28</f>
        <v xml:space="preserve">Cash Flow Satement 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14" x14ac:dyDescent="0.2">
      <c r="D4" t="s">
        <v>89</v>
      </c>
    </row>
    <row r="5" spans="2:14" ht="15" x14ac:dyDescent="0.25">
      <c r="D5" t="s">
        <v>92</v>
      </c>
      <c r="H5" s="24" t="s">
        <v>84</v>
      </c>
      <c r="I5" s="22"/>
      <c r="J5" s="23">
        <f>I6+Ctrl_1</f>
        <v>45658</v>
      </c>
      <c r="K5" s="23">
        <f>J6+Ctrl_1</f>
        <v>46023</v>
      </c>
      <c r="L5" s="23">
        <f>K6+Ctrl_1</f>
        <v>46388</v>
      </c>
      <c r="M5" s="23">
        <f>L6+Ctrl_1</f>
        <v>46753</v>
      </c>
      <c r="N5" s="23">
        <f>M6+Ctrl_1</f>
        <v>47119</v>
      </c>
    </row>
    <row r="6" spans="2:14" ht="15" x14ac:dyDescent="0.25">
      <c r="H6" s="24" t="s">
        <v>85</v>
      </c>
      <c r="I6" s="23">
        <f>EOMONTH(J6,- Ctrl_12)</f>
        <v>45657</v>
      </c>
      <c r="J6" s="23">
        <f>EOMONTH(K6,- Ctrl_12)</f>
        <v>46022</v>
      </c>
      <c r="K6" s="23">
        <f>EOMONTH(L6,- Ctrl_12)</f>
        <v>46387</v>
      </c>
      <c r="L6" s="23">
        <f>EOMONTH(M6,- Ctrl_12)</f>
        <v>46752</v>
      </c>
      <c r="M6" s="23">
        <f>EOMONTH(N6,- Ctrl_12)</f>
        <v>47118</v>
      </c>
      <c r="N6" s="23">
        <f>Model_Period_End</f>
        <v>47483</v>
      </c>
    </row>
    <row r="7" spans="2:14" ht="15" x14ac:dyDescent="0.25">
      <c r="H7" s="24" t="s">
        <v>86</v>
      </c>
      <c r="I7" s="21">
        <f>YEAR(I6)</f>
        <v>2024</v>
      </c>
      <c r="J7" s="21">
        <f t="shared" ref="J7:N7" si="0">YEAR(J6)</f>
        <v>2025</v>
      </c>
      <c r="K7" s="21">
        <f t="shared" si="0"/>
        <v>2026</v>
      </c>
      <c r="L7" s="21">
        <f t="shared" si="0"/>
        <v>2027</v>
      </c>
      <c r="M7" s="21">
        <f t="shared" si="0"/>
        <v>2028</v>
      </c>
      <c r="N7" s="21">
        <f t="shared" si="0"/>
        <v>2029</v>
      </c>
    </row>
    <row r="8" spans="2:14" ht="15" x14ac:dyDescent="0.25">
      <c r="D8" s="24" t="s">
        <v>91</v>
      </c>
      <c r="E8" s="24" t="s">
        <v>170</v>
      </c>
      <c r="F8" s="24" t="s">
        <v>209</v>
      </c>
      <c r="H8" s="24" t="s">
        <v>87</v>
      </c>
      <c r="I8" s="24" t="s">
        <v>90</v>
      </c>
      <c r="J8" s="24" t="s">
        <v>90</v>
      </c>
      <c r="K8" s="24" t="s">
        <v>90</v>
      </c>
      <c r="L8" s="24" t="s">
        <v>90</v>
      </c>
      <c r="M8" s="24" t="s">
        <v>90</v>
      </c>
      <c r="N8" s="24" t="s">
        <v>90</v>
      </c>
    </row>
    <row r="9" spans="2:14" x14ac:dyDescent="0.2">
      <c r="F9" t="s">
        <v>93</v>
      </c>
      <c r="I9">
        <f t="shared" ref="I9:N9" si="1">I7-$I$7</f>
        <v>0</v>
      </c>
      <c r="J9">
        <f t="shared" si="1"/>
        <v>1</v>
      </c>
      <c r="K9">
        <f t="shared" si="1"/>
        <v>2</v>
      </c>
      <c r="L9">
        <f t="shared" si="1"/>
        <v>3</v>
      </c>
      <c r="M9">
        <f t="shared" si="1"/>
        <v>4</v>
      </c>
      <c r="N9">
        <f t="shared" si="1"/>
        <v>5</v>
      </c>
    </row>
    <row r="10" spans="2:14" ht="15.75" thickBot="1" x14ac:dyDescent="0.3">
      <c r="C10" s="27" t="s">
        <v>282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 spans="2:14" ht="15" x14ac:dyDescent="0.25">
      <c r="D11" t="s">
        <v>273</v>
      </c>
      <c r="E11" s="24" t="s">
        <v>292</v>
      </c>
      <c r="J11">
        <f>IS!J20</f>
        <v>61540</v>
      </c>
      <c r="K11">
        <f>IS!K20</f>
        <v>78126.3913753573</v>
      </c>
      <c r="L11">
        <f>IS!L20</f>
        <v>77616.216011004144</v>
      </c>
      <c r="M11">
        <f>IS!M20</f>
        <v>71173.76373840349</v>
      </c>
      <c r="N11">
        <f>IS!N20</f>
        <v>61723.166021535304</v>
      </c>
    </row>
    <row r="12" spans="2:14" ht="15" x14ac:dyDescent="0.25">
      <c r="D12" s="24" t="s">
        <v>294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spans="2:14" ht="15" x14ac:dyDescent="0.25">
      <c r="D13" t="s">
        <v>293</v>
      </c>
      <c r="E13" s="24" t="s">
        <v>292</v>
      </c>
      <c r="J13">
        <f>IS!J17</f>
        <v>1500</v>
      </c>
      <c r="K13">
        <f>IS!K17</f>
        <v>1770</v>
      </c>
      <c r="L13">
        <f>IS!L17</f>
        <v>2037</v>
      </c>
      <c r="M13">
        <f>IS!M17</f>
        <v>2718.1</v>
      </c>
      <c r="N13">
        <f>IS!N17</f>
        <v>3573.53</v>
      </c>
    </row>
    <row r="14" spans="2:14" ht="15" x14ac:dyDescent="0.25">
      <c r="D14" s="47" t="s">
        <v>274</v>
      </c>
      <c r="E14" s="24"/>
    </row>
    <row r="15" spans="2:14" ht="15" x14ac:dyDescent="0.25">
      <c r="D15" t="s">
        <v>275</v>
      </c>
      <c r="E15" s="24" t="s">
        <v>292</v>
      </c>
      <c r="J15">
        <f>BS!I16-BS!J16</f>
        <v>-5054.7945205479455</v>
      </c>
      <c r="K15">
        <f>BS!J16-BS!K16</f>
        <v>-360.40684931506803</v>
      </c>
      <c r="L15">
        <f>BS!K16-BS!L16</f>
        <v>-1838.1705561230528</v>
      </c>
      <c r="M15">
        <f>BS!L16-BS!M16</f>
        <v>-3905.6292438738892</v>
      </c>
      <c r="N15">
        <f>BS!M16-BS!N16</f>
        <v>-4796.2154339322133</v>
      </c>
    </row>
    <row r="16" spans="2:14" ht="15" x14ac:dyDescent="0.25">
      <c r="D16" t="s">
        <v>276</v>
      </c>
      <c r="E16" s="24" t="s">
        <v>292</v>
      </c>
      <c r="J16">
        <f>BS!I17-BS!J17</f>
        <v>-13972.602739726028</v>
      </c>
      <c r="K16">
        <f>BS!J17-BS!K17</f>
        <v>-1250.717013698626</v>
      </c>
      <c r="L16">
        <f>BS!K17-BS!L17</f>
        <v>-1677.821459239949</v>
      </c>
      <c r="M16">
        <f>BS!L17-BS!M17</f>
        <v>-2260.7967438139058</v>
      </c>
      <c r="N16">
        <f>BS!M17-BS!N17</f>
        <v>-3119.3064522029308</v>
      </c>
    </row>
    <row r="17" spans="3:14" ht="15" x14ac:dyDescent="0.25">
      <c r="D17" t="s">
        <v>295</v>
      </c>
      <c r="E17" s="24" t="s">
        <v>292</v>
      </c>
      <c r="J17">
        <f>BS!I18-BS!J18</f>
        <v>-1088.2191780821915</v>
      </c>
      <c r="K17">
        <f>BS!J18-BS!K18</f>
        <v>314.40928767123262</v>
      </c>
      <c r="L17">
        <f>BS!K18-BS!L18</f>
        <v>-107.49969863013689</v>
      </c>
      <c r="M17">
        <f>BS!L18-BS!M18</f>
        <v>71.638277565685712</v>
      </c>
      <c r="N17">
        <f>BS!M18-BS!N18</f>
        <v>-75.804496743768254</v>
      </c>
    </row>
    <row r="18" spans="3:14" ht="15" x14ac:dyDescent="0.25">
      <c r="D18" t="s">
        <v>264</v>
      </c>
      <c r="E18" s="24" t="s">
        <v>292</v>
      </c>
      <c r="J18">
        <f>BS!J27-BS!I27</f>
        <v>4043.8356164383558</v>
      </c>
      <c r="K18">
        <f>BS!K27-BS!J27</f>
        <v>288.32547945205533</v>
      </c>
      <c r="L18">
        <f>BS!L27-BS!K27</f>
        <v>1470.5364448984428</v>
      </c>
      <c r="M18">
        <f>BS!M27-BS!L27</f>
        <v>3124.5033950991083</v>
      </c>
      <c r="N18">
        <f>BS!N27-BS!M27</f>
        <v>3836.9723471457728</v>
      </c>
    </row>
    <row r="19" spans="3:14" ht="15" x14ac:dyDescent="0.25">
      <c r="D19" t="s">
        <v>265</v>
      </c>
      <c r="E19" s="24" t="s">
        <v>292</v>
      </c>
      <c r="J19">
        <f>BS!J28-BS!I28</f>
        <v>1450.958904109589</v>
      </c>
      <c r="K19">
        <f>BS!K28-BS!J28</f>
        <v>-419.21238356164372</v>
      </c>
      <c r="L19">
        <f>BS!L28-BS!K28</f>
        <v>143.33293150684926</v>
      </c>
      <c r="M19">
        <f>BS!M28-BS!L28</f>
        <v>-95.517703420914359</v>
      </c>
      <c r="N19">
        <f>BS!N28-BS!M28</f>
        <v>101.07266232502434</v>
      </c>
    </row>
    <row r="20" spans="3:14" ht="15" x14ac:dyDescent="0.25">
      <c r="D20" s="47" t="s">
        <v>277</v>
      </c>
      <c r="E20" s="24"/>
    </row>
    <row r="21" spans="3:14" ht="15.75" thickBot="1" x14ac:dyDescent="0.3">
      <c r="D21" t="s">
        <v>278</v>
      </c>
      <c r="E21" s="24" t="s">
        <v>292</v>
      </c>
      <c r="J21">
        <f>-IS!J21</f>
        <v>-12308</v>
      </c>
      <c r="K21">
        <f>-IS!K21</f>
        <v>-15625.278275071461</v>
      </c>
      <c r="L21">
        <f>-IS!L21</f>
        <v>-15523.243202200829</v>
      </c>
      <c r="M21">
        <f>-IS!M21</f>
        <v>-14234.752747680699</v>
      </c>
      <c r="N21">
        <f>-IS!N21</f>
        <v>-12344.633204307062</v>
      </c>
    </row>
    <row r="22" spans="3:14" ht="15.75" thickTop="1" x14ac:dyDescent="0.25">
      <c r="D22" s="30" t="s">
        <v>279</v>
      </c>
      <c r="E22" s="61" t="s">
        <v>292</v>
      </c>
      <c r="F22" s="30"/>
      <c r="G22" s="30"/>
      <c r="H22" s="30"/>
      <c r="I22" s="30"/>
      <c r="J22" s="30">
        <f>SUM(J11:J21)</f>
        <v>36111.178082191786</v>
      </c>
      <c r="K22" s="30">
        <f t="shared" ref="K22:N22" si="2">SUM(K11:K21)</f>
        <v>62843.511620833808</v>
      </c>
      <c r="L22" s="30">
        <f t="shared" si="2"/>
        <v>62120.350471215483</v>
      </c>
      <c r="M22" s="30">
        <f t="shared" si="2"/>
        <v>56591.308972278872</v>
      </c>
      <c r="N22" s="30">
        <f t="shared" si="2"/>
        <v>48898.781443820131</v>
      </c>
    </row>
    <row r="23" spans="3:14" ht="15.75" thickBot="1" x14ac:dyDescent="0.3">
      <c r="C23" s="27" t="s">
        <v>280</v>
      </c>
      <c r="D23" s="27"/>
      <c r="E23" s="64"/>
      <c r="F23" s="27"/>
      <c r="G23" s="27"/>
      <c r="H23" s="27"/>
      <c r="I23" s="27"/>
      <c r="J23" s="27"/>
      <c r="K23" s="27"/>
      <c r="L23" s="27"/>
      <c r="M23" s="27"/>
      <c r="N23" s="27"/>
    </row>
    <row r="24" spans="3:14" ht="15.75" thickBot="1" x14ac:dyDescent="0.3">
      <c r="D24" t="s">
        <v>95</v>
      </c>
      <c r="E24" s="24" t="s">
        <v>292</v>
      </c>
      <c r="J24">
        <f>-Cal!J169/Divisor</f>
        <v>-7500</v>
      </c>
      <c r="K24">
        <f>-Cal!K169/Divisor</f>
        <v>-1350</v>
      </c>
      <c r="L24">
        <f>-Cal!L169/Divisor</f>
        <v>-1335</v>
      </c>
      <c r="M24">
        <f>-Cal!M169/Divisor</f>
        <v>-3405.5</v>
      </c>
      <c r="N24">
        <f>-Cal!N169/Divisor</f>
        <v>-4277.1499999999996</v>
      </c>
    </row>
    <row r="25" spans="3:14" ht="15.75" thickTop="1" x14ac:dyDescent="0.25">
      <c r="D25" s="30" t="s">
        <v>281</v>
      </c>
      <c r="E25" s="61" t="s">
        <v>292</v>
      </c>
      <c r="F25" s="30"/>
      <c r="G25" s="30"/>
      <c r="H25" s="30"/>
      <c r="I25" s="30"/>
      <c r="J25" s="30">
        <f>SUM(J24)</f>
        <v>-7500</v>
      </c>
      <c r="K25" s="30">
        <f t="shared" ref="K25:N25" si="3">SUM(K24)</f>
        <v>-1350</v>
      </c>
      <c r="L25" s="30">
        <f t="shared" si="3"/>
        <v>-1335</v>
      </c>
      <c r="M25" s="30">
        <f t="shared" si="3"/>
        <v>-3405.5</v>
      </c>
      <c r="N25" s="30">
        <f t="shared" si="3"/>
        <v>-4277.1499999999996</v>
      </c>
    </row>
    <row r="26" spans="3:14" ht="15.75" thickBot="1" x14ac:dyDescent="0.3">
      <c r="C26" s="27" t="s">
        <v>283</v>
      </c>
      <c r="D26" s="27"/>
      <c r="E26" s="64"/>
      <c r="F26" s="27"/>
      <c r="G26" s="27"/>
      <c r="H26" s="27"/>
      <c r="I26" s="27"/>
      <c r="J26" s="27"/>
      <c r="K26" s="27"/>
      <c r="L26" s="27"/>
      <c r="M26" s="27"/>
      <c r="N26" s="27"/>
    </row>
    <row r="27" spans="3:14" ht="15" x14ac:dyDescent="0.25">
      <c r="D27" t="s">
        <v>284</v>
      </c>
      <c r="E27" s="24" t="s">
        <v>292</v>
      </c>
      <c r="J27">
        <f>Cal!J147/Divisor</f>
        <v>12000</v>
      </c>
      <c r="K27">
        <f>Cal!K147/Divisor</f>
        <v>0</v>
      </c>
      <c r="L27">
        <f>Cal!L147/Divisor</f>
        <v>0</v>
      </c>
      <c r="M27">
        <f>Cal!M147/Divisor</f>
        <v>0</v>
      </c>
      <c r="N27">
        <f>Cal!N147/Divisor</f>
        <v>0</v>
      </c>
    </row>
    <row r="28" spans="3:14" ht="15" x14ac:dyDescent="0.25">
      <c r="D28" t="s">
        <v>285</v>
      </c>
      <c r="E28" s="24" t="s">
        <v>292</v>
      </c>
      <c r="J28">
        <f>Cal!J136/Divisor</f>
        <v>8000</v>
      </c>
      <c r="K28">
        <f>Cal!K136/Divisor</f>
        <v>0</v>
      </c>
      <c r="L28">
        <f>Cal!L136/Divisor</f>
        <v>0</v>
      </c>
      <c r="M28">
        <f>Cal!M136/Divisor</f>
        <v>0</v>
      </c>
      <c r="N28">
        <f>Cal!N136/Divisor</f>
        <v>0</v>
      </c>
    </row>
    <row r="29" spans="3:14" ht="15" x14ac:dyDescent="0.25">
      <c r="D29" t="s">
        <v>286</v>
      </c>
      <c r="E29" s="24" t="s">
        <v>292</v>
      </c>
      <c r="J29">
        <f>-Cal!J155/Divisor</f>
        <v>-13292.64</v>
      </c>
      <c r="K29">
        <f>-Cal!K155/Divisor</f>
        <v>-16875.300537077179</v>
      </c>
      <c r="L29">
        <f>-Cal!L155/Divisor</f>
        <v>-16765.102658376894</v>
      </c>
      <c r="M29">
        <f>-Cal!M155/Divisor</f>
        <v>-15373.532967495155</v>
      </c>
      <c r="N29">
        <f>-Cal!N155/Divisor</f>
        <v>-13332.203860651627</v>
      </c>
    </row>
    <row r="30" spans="3:14" ht="15.75" thickBot="1" x14ac:dyDescent="0.3">
      <c r="D30" t="s">
        <v>287</v>
      </c>
      <c r="E30" s="24" t="s">
        <v>292</v>
      </c>
      <c r="J30">
        <f>-Cal!J137/Divisor</f>
        <v>-3140.315743387674</v>
      </c>
      <c r="K30">
        <f>-Cal!K137/Divisor</f>
        <v>-3564.2583687450101</v>
      </c>
      <c r="L30">
        <f>-Cal!L137/Divisor</f>
        <v>-1295.4258878673161</v>
      </c>
      <c r="M30">
        <f>-Cal!M137/Divisor</f>
        <v>0</v>
      </c>
      <c r="N30">
        <f>-Cal!N137/Divisor</f>
        <v>0</v>
      </c>
    </row>
    <row r="31" spans="3:14" ht="15.75" thickTop="1" x14ac:dyDescent="0.25">
      <c r="D31" s="30" t="s">
        <v>288</v>
      </c>
      <c r="E31" s="61" t="s">
        <v>292</v>
      </c>
      <c r="F31" s="30"/>
      <c r="G31" s="30"/>
      <c r="H31" s="30"/>
      <c r="I31" s="30"/>
      <c r="J31" s="30">
        <f>SUM(J27:J30)</f>
        <v>3567.0442566123265</v>
      </c>
      <c r="K31" s="30">
        <f t="shared" ref="K31:N31" si="4">SUM(K27:K30)</f>
        <v>-20439.558905822189</v>
      </c>
      <c r="L31" s="30">
        <f t="shared" si="4"/>
        <v>-18060.528546244212</v>
      </c>
      <c r="M31" s="30">
        <f t="shared" si="4"/>
        <v>-15373.532967495155</v>
      </c>
      <c r="N31" s="30">
        <f t="shared" si="4"/>
        <v>-13332.203860651627</v>
      </c>
    </row>
    <row r="32" spans="3:14" ht="15.75" thickBot="1" x14ac:dyDescent="0.3">
      <c r="C32" s="27" t="s">
        <v>289</v>
      </c>
      <c r="D32" s="27"/>
      <c r="E32" s="64"/>
      <c r="F32" s="27"/>
      <c r="G32" s="27"/>
      <c r="H32" s="27"/>
      <c r="I32" s="27"/>
      <c r="J32" s="27"/>
      <c r="K32" s="27"/>
      <c r="L32" s="27"/>
      <c r="M32" s="27"/>
      <c r="N32" s="27"/>
    </row>
    <row r="33" spans="4:14" ht="15" x14ac:dyDescent="0.25">
      <c r="D33" t="s">
        <v>232</v>
      </c>
      <c r="E33" s="24" t="s">
        <v>292</v>
      </c>
      <c r="J33">
        <f>I35</f>
        <v>0</v>
      </c>
      <c r="K33">
        <f t="shared" ref="K33:N33" si="5">J35</f>
        <v>32178.222338804113</v>
      </c>
      <c r="L33">
        <f t="shared" si="5"/>
        <v>73232.175053815736</v>
      </c>
      <c r="M33">
        <f t="shared" si="5"/>
        <v>115956.99697878701</v>
      </c>
      <c r="N33">
        <f t="shared" si="5"/>
        <v>153769.27298357073</v>
      </c>
    </row>
    <row r="34" spans="4:14" ht="15" x14ac:dyDescent="0.25">
      <c r="D34" t="s">
        <v>290</v>
      </c>
      <c r="E34" s="24" t="s">
        <v>292</v>
      </c>
      <c r="J34">
        <f>J31+J25+J22</f>
        <v>32178.222338804113</v>
      </c>
      <c r="K34">
        <f t="shared" ref="K34:N34" si="6">K31+K25+K22</f>
        <v>41053.952715011619</v>
      </c>
      <c r="L34">
        <f t="shared" si="6"/>
        <v>42724.821924971271</v>
      </c>
      <c r="M34">
        <f t="shared" si="6"/>
        <v>37812.276004783715</v>
      </c>
      <c r="N34">
        <f t="shared" si="6"/>
        <v>31289.427583168504</v>
      </c>
    </row>
    <row r="35" spans="4:14" ht="15.75" thickBot="1" x14ac:dyDescent="0.3">
      <c r="D35" s="12" t="s">
        <v>291</v>
      </c>
      <c r="E35" s="62" t="s">
        <v>292</v>
      </c>
      <c r="F35" s="12"/>
      <c r="G35" s="12"/>
      <c r="H35" s="12"/>
      <c r="I35" s="12"/>
      <c r="J35" s="12">
        <f>J33+J34</f>
        <v>32178.222338804113</v>
      </c>
      <c r="K35" s="12">
        <f t="shared" ref="K35:N35" si="7">K33+K34</f>
        <v>73232.175053815736</v>
      </c>
      <c r="L35" s="12">
        <f t="shared" si="7"/>
        <v>115956.99697878701</v>
      </c>
      <c r="M35" s="12">
        <f t="shared" si="7"/>
        <v>153769.27298357073</v>
      </c>
      <c r="N35" s="12">
        <f t="shared" si="7"/>
        <v>185058.70056673922</v>
      </c>
    </row>
    <row r="36" spans="4:14" ht="15" thickTop="1" x14ac:dyDescent="0.2"/>
  </sheetData>
  <hyperlinks>
    <hyperlink ref="N2" location="'Model Guide'!A1" tooltip="Go to Model Guide Sheet" display="Menu" xr:uid="{E9A44A44-CA66-4F7F-87EA-B8C5411468CD}"/>
  </hyperlinks>
  <pageMargins left="0.70866141732283472" right="0.70866141732283472" top="0.74803149606299213" bottom="0.74803149606299213" header="0.31496062992125984" footer="0.31496062992125984"/>
  <pageSetup scale="69" fitToHeight="0" orientation="landscape" r:id="rId1"/>
  <headerFooter>
    <oddFooter>&amp;L&amp;D&amp;COluwatimilehin Fafiola&amp;R&amp;P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9958-3EC8-42A5-9339-C0C84FC187EE}">
  <sheetPr>
    <tabColor theme="0" tint="0.499984740745262"/>
    <pageSetUpPr fitToPage="1"/>
  </sheetPr>
  <dimension ref="A2:O40"/>
  <sheetViews>
    <sheetView showGridLines="0" tabSelected="1" workbookViewId="0">
      <pane xSplit="4" ySplit="9" topLeftCell="E10" activePane="bottomRight" state="frozen"/>
      <selection activeCell="J18" sqref="J18"/>
      <selection pane="topRight" activeCell="J18" sqref="J18"/>
      <selection pane="bottomLeft" activeCell="J18" sqref="J18"/>
      <selection pane="bottomRight" activeCell="J18" sqref="J18"/>
    </sheetView>
  </sheetViews>
  <sheetFormatPr defaultColWidth="0" defaultRowHeight="14.25" x14ac:dyDescent="0.2"/>
  <cols>
    <col min="1" max="3" width="3.375" customWidth="1"/>
    <col min="4" max="4" width="33.125" customWidth="1"/>
    <col min="5" max="5" width="9.75" customWidth="1"/>
    <col min="6" max="6" width="11.125" customWidth="1"/>
    <col min="7" max="7" width="9" customWidth="1"/>
    <col min="8" max="8" width="8.875" customWidth="1"/>
    <col min="9" max="14" width="11.125" customWidth="1"/>
    <col min="15" max="15" width="9" customWidth="1"/>
    <col min="16" max="16384" width="9" hidden="1"/>
  </cols>
  <sheetData>
    <row r="2" spans="2:14" ht="38.25" x14ac:dyDescent="0.7">
      <c r="B2" s="15" t="str">
        <f>Company_Name</f>
        <v xml:space="preserve">Tage Corp 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25" t="s">
        <v>94</v>
      </c>
    </row>
    <row r="3" spans="2:14" ht="27.75" x14ac:dyDescent="0.5">
      <c r="B3" s="16"/>
      <c r="C3" s="16" t="str">
        <f>'Model Guide'!D27</f>
        <v>Balance Sheet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14" x14ac:dyDescent="0.2">
      <c r="D4" t="s">
        <v>89</v>
      </c>
    </row>
    <row r="5" spans="2:14" ht="15" x14ac:dyDescent="0.25">
      <c r="D5" t="s">
        <v>92</v>
      </c>
      <c r="H5" s="24" t="s">
        <v>84</v>
      </c>
      <c r="I5" s="22"/>
      <c r="J5" s="23">
        <f>I6+Ctrl_1</f>
        <v>45658</v>
      </c>
      <c r="K5" s="23">
        <f>J6+Ctrl_1</f>
        <v>46023</v>
      </c>
      <c r="L5" s="23">
        <f>K6+Ctrl_1</f>
        <v>46388</v>
      </c>
      <c r="M5" s="23">
        <f>L6+Ctrl_1</f>
        <v>46753</v>
      </c>
      <c r="N5" s="23">
        <f>M6+Ctrl_1</f>
        <v>47119</v>
      </c>
    </row>
    <row r="6" spans="2:14" ht="15" x14ac:dyDescent="0.25">
      <c r="H6" s="24" t="s">
        <v>85</v>
      </c>
      <c r="I6" s="23">
        <f>EOMONTH(J6,- Ctrl_12)</f>
        <v>45657</v>
      </c>
      <c r="J6" s="23">
        <f>EOMONTH(K6,- Ctrl_12)</f>
        <v>46022</v>
      </c>
      <c r="K6" s="23">
        <f>EOMONTH(L6,- Ctrl_12)</f>
        <v>46387</v>
      </c>
      <c r="L6" s="23">
        <f>EOMONTH(M6,- Ctrl_12)</f>
        <v>46752</v>
      </c>
      <c r="M6" s="23">
        <f>EOMONTH(N6,- Ctrl_12)</f>
        <v>47118</v>
      </c>
      <c r="N6" s="23">
        <f>Model_Period_End</f>
        <v>47483</v>
      </c>
    </row>
    <row r="7" spans="2:14" ht="15" x14ac:dyDescent="0.25">
      <c r="H7" s="24" t="s">
        <v>86</v>
      </c>
      <c r="I7" s="21">
        <f>YEAR(I6)</f>
        <v>2024</v>
      </c>
      <c r="J7" s="21">
        <f t="shared" ref="J7:N7" si="0">YEAR(J6)</f>
        <v>2025</v>
      </c>
      <c r="K7" s="21">
        <f t="shared" si="0"/>
        <v>2026</v>
      </c>
      <c r="L7" s="21">
        <f t="shared" si="0"/>
        <v>2027</v>
      </c>
      <c r="M7" s="21">
        <f t="shared" si="0"/>
        <v>2028</v>
      </c>
      <c r="N7" s="21">
        <f t="shared" si="0"/>
        <v>2029</v>
      </c>
    </row>
    <row r="8" spans="2:14" ht="15" x14ac:dyDescent="0.25">
      <c r="G8" t="s">
        <v>296</v>
      </c>
      <c r="H8" s="24"/>
      <c r="I8" s="21"/>
      <c r="J8" s="65" t="str">
        <f>IF(J21=J35, "Balance",J21-J35)</f>
        <v>Balance</v>
      </c>
      <c r="K8" s="65" t="str">
        <f>IF(K21=K35, "Balance",K21-K35)</f>
        <v>Balance</v>
      </c>
      <c r="L8" s="65" t="str">
        <f t="shared" ref="K8:M8" si="1">IF(L21=L35, "Balance",L21-L35)</f>
        <v>Balance</v>
      </c>
      <c r="M8" s="65" t="str">
        <f t="shared" si="1"/>
        <v>Balance</v>
      </c>
      <c r="N8" s="65" t="str">
        <f>IF(N21=N35, "Balance",N21-N35)</f>
        <v>Balance</v>
      </c>
    </row>
    <row r="9" spans="2:14" ht="15" x14ac:dyDescent="0.25">
      <c r="D9" s="24" t="s">
        <v>91</v>
      </c>
      <c r="E9" s="24" t="s">
        <v>170</v>
      </c>
      <c r="F9" s="24" t="s">
        <v>209</v>
      </c>
      <c r="H9" s="24" t="s">
        <v>87</v>
      </c>
      <c r="I9" s="24" t="s">
        <v>90</v>
      </c>
      <c r="J9" s="24" t="s">
        <v>90</v>
      </c>
      <c r="K9" s="24" t="s">
        <v>90</v>
      </c>
      <c r="L9" s="24" t="s">
        <v>90</v>
      </c>
      <c r="M9" s="24" t="s">
        <v>90</v>
      </c>
      <c r="N9" s="24" t="s">
        <v>90</v>
      </c>
    </row>
    <row r="10" spans="2:14" x14ac:dyDescent="0.2">
      <c r="F10" t="s">
        <v>93</v>
      </c>
      <c r="I10">
        <f t="shared" ref="I10:N10" si="2">I7-$I$7</f>
        <v>0</v>
      </c>
      <c r="J10">
        <f t="shared" si="2"/>
        <v>1</v>
      </c>
      <c r="K10">
        <f t="shared" si="2"/>
        <v>2</v>
      </c>
      <c r="L10">
        <f t="shared" si="2"/>
        <v>3</v>
      </c>
      <c r="M10">
        <f t="shared" si="2"/>
        <v>4</v>
      </c>
      <c r="N10">
        <f t="shared" si="2"/>
        <v>5</v>
      </c>
    </row>
    <row r="11" spans="2:14" ht="15.75" thickBot="1" x14ac:dyDescent="0.3">
      <c r="C11" s="27" t="s">
        <v>127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spans="2:14" ht="15" x14ac:dyDescent="0.25">
      <c r="D12" s="47" t="s">
        <v>251</v>
      </c>
    </row>
    <row r="13" spans="2:14" ht="15.75" thickBot="1" x14ac:dyDescent="0.3">
      <c r="D13" t="s">
        <v>252</v>
      </c>
      <c r="E13" s="24" t="s">
        <v>250</v>
      </c>
      <c r="J13">
        <f>Cal!J171/Divisor</f>
        <v>6000</v>
      </c>
      <c r="K13">
        <f>Cal!K171/Divisor</f>
        <v>5580</v>
      </c>
      <c r="L13">
        <f>Cal!L171/Divisor</f>
        <v>4878</v>
      </c>
      <c r="M13">
        <f>Cal!M171/Divisor</f>
        <v>5565.4</v>
      </c>
      <c r="N13">
        <f>Cal!N171/Divisor</f>
        <v>6269.02</v>
      </c>
    </row>
    <row r="14" spans="2:14" ht="15.75" thickTop="1" x14ac:dyDescent="0.25">
      <c r="D14" s="30" t="s">
        <v>253</v>
      </c>
      <c r="E14" s="58" t="s">
        <v>250</v>
      </c>
      <c r="F14" s="30"/>
      <c r="G14" s="30"/>
      <c r="H14" s="30"/>
      <c r="I14" s="30"/>
      <c r="J14" s="30">
        <f>SUM(J13)</f>
        <v>6000</v>
      </c>
      <c r="K14" s="30">
        <f t="shared" ref="K14:N14" si="3">SUM(K13)</f>
        <v>5580</v>
      </c>
      <c r="L14" s="30">
        <f t="shared" si="3"/>
        <v>4878</v>
      </c>
      <c r="M14" s="30">
        <f t="shared" si="3"/>
        <v>5565.4</v>
      </c>
      <c r="N14" s="30">
        <f t="shared" si="3"/>
        <v>6269.02</v>
      </c>
    </row>
    <row r="15" spans="2:14" ht="15" x14ac:dyDescent="0.25">
      <c r="D15" s="29" t="s">
        <v>254</v>
      </c>
      <c r="E15" s="24"/>
    </row>
    <row r="16" spans="2:14" ht="15" x14ac:dyDescent="0.25">
      <c r="D16" t="s">
        <v>255</v>
      </c>
      <c r="E16" s="24" t="s">
        <v>250</v>
      </c>
      <c r="J16">
        <f>Cal!J117/Divisor</f>
        <v>5054.7945205479455</v>
      </c>
      <c r="K16">
        <f>Cal!K117/Divisor</f>
        <v>5415.2013698630135</v>
      </c>
      <c r="L16">
        <f>Cal!L117/Divisor</f>
        <v>7253.3719259860663</v>
      </c>
      <c r="M16">
        <f>Cal!M117/Divisor</f>
        <v>11159.001169859956</v>
      </c>
      <c r="N16">
        <f>Cal!N117/Divisor</f>
        <v>15955.216603792169</v>
      </c>
    </row>
    <row r="17" spans="3:14" ht="15" x14ac:dyDescent="0.25">
      <c r="D17" t="s">
        <v>256</v>
      </c>
      <c r="E17" s="24" t="s">
        <v>250</v>
      </c>
      <c r="J17">
        <f>Cal!J118/Divisor</f>
        <v>13972.602739726028</v>
      </c>
      <c r="K17">
        <f>Cal!K118/Divisor</f>
        <v>15223.319753424654</v>
      </c>
      <c r="L17">
        <f>Cal!L118/Divisor</f>
        <v>16901.141212664603</v>
      </c>
      <c r="M17">
        <f>Cal!M118/Divisor</f>
        <v>19161.937956478509</v>
      </c>
      <c r="N17">
        <f>Cal!N118/Divisor</f>
        <v>22281.244408681439</v>
      </c>
    </row>
    <row r="18" spans="3:14" ht="15" x14ac:dyDescent="0.25">
      <c r="D18" t="s">
        <v>166</v>
      </c>
      <c r="E18" s="24" t="s">
        <v>250</v>
      </c>
      <c r="J18">
        <f>Cal!J119/Divisor</f>
        <v>1088.2191780821915</v>
      </c>
      <c r="K18">
        <f>Cal!K119/Divisor</f>
        <v>773.80989041095893</v>
      </c>
      <c r="L18">
        <f>Cal!L119/Divisor</f>
        <v>881.30958904109582</v>
      </c>
      <c r="M18">
        <f>Cal!M119/Divisor</f>
        <v>809.67131147541011</v>
      </c>
      <c r="N18">
        <f>Cal!N119/Divisor</f>
        <v>885.47580821917836</v>
      </c>
    </row>
    <row r="19" spans="3:14" ht="15.75" thickBot="1" x14ac:dyDescent="0.3">
      <c r="D19" t="s">
        <v>257</v>
      </c>
      <c r="E19" s="24" t="s">
        <v>250</v>
      </c>
      <c r="J19">
        <f>CF!J35</f>
        <v>32178.222338804113</v>
      </c>
      <c r="K19">
        <f>CF!K35</f>
        <v>73232.175053815736</v>
      </c>
      <c r="L19">
        <f>CF!L35</f>
        <v>115956.99697878701</v>
      </c>
      <c r="M19">
        <f>CF!M35</f>
        <v>153769.27298357073</v>
      </c>
      <c r="N19">
        <f>CF!N35</f>
        <v>185058.70056673922</v>
      </c>
    </row>
    <row r="20" spans="3:14" ht="15.75" thickTop="1" x14ac:dyDescent="0.25">
      <c r="D20" s="30" t="s">
        <v>258</v>
      </c>
      <c r="E20" s="58" t="s">
        <v>250</v>
      </c>
      <c r="F20" s="30"/>
      <c r="G20" s="30"/>
      <c r="H20" s="30"/>
      <c r="I20" s="30"/>
      <c r="J20" s="30">
        <f>SUM(J16:J19)</f>
        <v>52293.838777160279</v>
      </c>
      <c r="K20" s="30">
        <f t="shared" ref="K20:N20" si="4">SUM(K16:K19)</f>
        <v>94644.506067514361</v>
      </c>
      <c r="L20" s="30">
        <f t="shared" si="4"/>
        <v>140992.81970647877</v>
      </c>
      <c r="M20" s="30">
        <f t="shared" si="4"/>
        <v>184899.88342138461</v>
      </c>
      <c r="N20" s="30">
        <f t="shared" si="4"/>
        <v>224180.63738743201</v>
      </c>
    </row>
    <row r="21" spans="3:14" ht="15.75" thickBot="1" x14ac:dyDescent="0.3">
      <c r="D21" s="12" t="s">
        <v>259</v>
      </c>
      <c r="E21" s="59" t="s">
        <v>250</v>
      </c>
      <c r="F21" s="12"/>
      <c r="G21" s="12"/>
      <c r="H21" s="12"/>
      <c r="I21" s="12"/>
      <c r="J21" s="12">
        <f>J20+J14</f>
        <v>58293.838777160279</v>
      </c>
      <c r="K21" s="12">
        <f t="shared" ref="K21:N21" si="5">K20+K14</f>
        <v>100224.50606751436</v>
      </c>
      <c r="L21" s="12">
        <f t="shared" si="5"/>
        <v>145870.81970647877</v>
      </c>
      <c r="M21" s="12">
        <f t="shared" si="5"/>
        <v>190465.28342138461</v>
      </c>
      <c r="N21" s="12">
        <f t="shared" si="5"/>
        <v>230449.657387432</v>
      </c>
    </row>
    <row r="22" spans="3:14" ht="16.5" thickTop="1" thickBot="1" x14ac:dyDescent="0.3">
      <c r="C22" s="27" t="s">
        <v>167</v>
      </c>
      <c r="D22" s="27"/>
      <c r="E22" s="60"/>
      <c r="F22" s="27"/>
      <c r="G22" s="27"/>
      <c r="H22" s="27"/>
      <c r="I22" s="27"/>
      <c r="J22" s="27"/>
      <c r="K22" s="27"/>
      <c r="L22" s="27"/>
      <c r="M22" s="27"/>
      <c r="N22" s="27"/>
    </row>
    <row r="23" spans="3:14" ht="15" x14ac:dyDescent="0.25">
      <c r="D23" s="29" t="s">
        <v>260</v>
      </c>
      <c r="E23" s="24"/>
    </row>
    <row r="24" spans="3:14" ht="15.75" thickBot="1" x14ac:dyDescent="0.3">
      <c r="D24" t="s">
        <v>261</v>
      </c>
      <c r="E24" s="24" t="s">
        <v>250</v>
      </c>
      <c r="J24">
        <f>Cal!J138/Divisor</f>
        <v>4859.684256612326</v>
      </c>
      <c r="K24">
        <f>Cal!K138/Divisor</f>
        <v>1295.4258878673161</v>
      </c>
      <c r="L24">
        <f>Cal!L138/Divisor</f>
        <v>0</v>
      </c>
      <c r="M24">
        <f>Cal!M138/Divisor</f>
        <v>0</v>
      </c>
      <c r="N24">
        <f>Cal!N138/Divisor</f>
        <v>0</v>
      </c>
    </row>
    <row r="25" spans="3:14" ht="15.75" thickTop="1" x14ac:dyDescent="0.25">
      <c r="D25" s="30" t="s">
        <v>262</v>
      </c>
      <c r="E25" s="61" t="s">
        <v>250</v>
      </c>
      <c r="F25" s="30"/>
      <c r="G25" s="30"/>
      <c r="H25" s="30"/>
      <c r="I25" s="30"/>
      <c r="J25" s="30">
        <f>SUM(J24)</f>
        <v>4859.684256612326</v>
      </c>
      <c r="K25" s="30">
        <f t="shared" ref="K25:N25" si="6">SUM(K24)</f>
        <v>1295.4258878673161</v>
      </c>
      <c r="L25" s="30">
        <f t="shared" si="6"/>
        <v>0</v>
      </c>
      <c r="M25" s="30">
        <f t="shared" si="6"/>
        <v>0</v>
      </c>
      <c r="N25" s="30">
        <f t="shared" si="6"/>
        <v>0</v>
      </c>
    </row>
    <row r="26" spans="3:14" ht="15" x14ac:dyDescent="0.25">
      <c r="D26" s="29" t="s">
        <v>263</v>
      </c>
      <c r="E26" s="24"/>
    </row>
    <row r="27" spans="3:14" ht="15" x14ac:dyDescent="0.25">
      <c r="D27" t="s">
        <v>264</v>
      </c>
      <c r="E27" s="24" t="s">
        <v>250</v>
      </c>
      <c r="J27">
        <f>Cal!J122/Divisor</f>
        <v>4043.8356164383558</v>
      </c>
      <c r="K27">
        <f>Cal!K122/Divisor</f>
        <v>4332.1610958904112</v>
      </c>
      <c r="L27">
        <f>Cal!L122/Divisor</f>
        <v>5802.697540788854</v>
      </c>
      <c r="M27">
        <f>Cal!M122/Divisor</f>
        <v>8927.2009358879623</v>
      </c>
      <c r="N27">
        <f>Cal!N122/Divisor</f>
        <v>12764.173283033735</v>
      </c>
    </row>
    <row r="28" spans="3:14" ht="15.75" thickBot="1" x14ac:dyDescent="0.3">
      <c r="D28" t="s">
        <v>265</v>
      </c>
      <c r="E28" s="24" t="s">
        <v>250</v>
      </c>
      <c r="J28">
        <f>Cal!J123/Divisor</f>
        <v>1450.958904109589</v>
      </c>
      <c r="K28">
        <f>Cal!K123/Divisor</f>
        <v>1031.7465205479452</v>
      </c>
      <c r="L28">
        <f>Cal!L123/Divisor</f>
        <v>1175.0794520547945</v>
      </c>
      <c r="M28">
        <f>Cal!M123/Divisor</f>
        <v>1079.5617486338801</v>
      </c>
      <c r="N28">
        <f>Cal!N123/Divisor</f>
        <v>1180.6344109589045</v>
      </c>
    </row>
    <row r="29" spans="3:14" ht="15.75" thickTop="1" x14ac:dyDescent="0.25">
      <c r="D29" s="30" t="s">
        <v>266</v>
      </c>
      <c r="E29" s="61" t="s">
        <v>250</v>
      </c>
      <c r="F29" s="30"/>
      <c r="G29" s="30"/>
      <c r="H29" s="30"/>
      <c r="I29" s="30"/>
      <c r="J29" s="30">
        <f>SUM(J27:J28)</f>
        <v>5494.7945205479446</v>
      </c>
      <c r="K29" s="30">
        <f t="shared" ref="K29:N29" si="7">SUM(K27:K28)</f>
        <v>5363.9076164383569</v>
      </c>
      <c r="L29" s="30">
        <f t="shared" si="7"/>
        <v>6977.7769928436483</v>
      </c>
      <c r="M29" s="30">
        <f t="shared" si="7"/>
        <v>10006.762684521842</v>
      </c>
      <c r="N29" s="30">
        <f t="shared" si="7"/>
        <v>13944.80769399264</v>
      </c>
    </row>
    <row r="30" spans="3:14" ht="15.75" thickBot="1" x14ac:dyDescent="0.3">
      <c r="D30" s="12" t="s">
        <v>267</v>
      </c>
      <c r="E30" s="62" t="s">
        <v>250</v>
      </c>
      <c r="F30" s="12"/>
      <c r="G30" s="12"/>
      <c r="H30" s="12"/>
      <c r="I30" s="12"/>
      <c r="J30" s="12">
        <f>SUM(J29+J25)</f>
        <v>10354.478777160271</v>
      </c>
      <c r="K30" s="12">
        <f t="shared" ref="K30:N30" si="8">SUM(K29+K25)</f>
        <v>6659.3335043056732</v>
      </c>
      <c r="L30" s="12">
        <f t="shared" si="8"/>
        <v>6977.7769928436483</v>
      </c>
      <c r="M30" s="12">
        <f t="shared" si="8"/>
        <v>10006.762684521842</v>
      </c>
      <c r="N30" s="12">
        <f t="shared" si="8"/>
        <v>13944.80769399264</v>
      </c>
    </row>
    <row r="31" spans="3:14" ht="16.5" thickTop="1" thickBot="1" x14ac:dyDescent="0.3">
      <c r="C31" s="27" t="s">
        <v>134</v>
      </c>
      <c r="D31" s="27"/>
      <c r="E31" s="60"/>
      <c r="F31" s="27"/>
      <c r="G31" s="27"/>
      <c r="H31" s="27"/>
      <c r="I31" s="27"/>
      <c r="J31" s="27"/>
      <c r="K31" s="27"/>
      <c r="L31" s="27"/>
      <c r="M31" s="27"/>
      <c r="N31" s="27"/>
    </row>
    <row r="32" spans="3:14" ht="15" x14ac:dyDescent="0.25">
      <c r="D32" t="s">
        <v>268</v>
      </c>
      <c r="E32" s="24" t="s">
        <v>250</v>
      </c>
      <c r="J32">
        <f>Cal!$J$143/Divisor</f>
        <v>12000</v>
      </c>
      <c r="K32">
        <f>Cal!$J$143/Divisor</f>
        <v>12000</v>
      </c>
      <c r="L32">
        <f>Cal!$J$143/Divisor</f>
        <v>12000</v>
      </c>
      <c r="M32">
        <f>Cal!$J$143/Divisor</f>
        <v>12000</v>
      </c>
      <c r="N32">
        <f>Cal!$J$143/Divisor</f>
        <v>12000</v>
      </c>
    </row>
    <row r="33" spans="4:14" ht="15" x14ac:dyDescent="0.25">
      <c r="D33" t="s">
        <v>269</v>
      </c>
      <c r="E33" s="24" t="s">
        <v>250</v>
      </c>
      <c r="J33">
        <f>Cal!J156/Divisor</f>
        <v>35939.360000000001</v>
      </c>
      <c r="K33">
        <f>Cal!K156/Divisor</f>
        <v>81565.17256320866</v>
      </c>
      <c r="L33">
        <f>Cal!L156/Divisor</f>
        <v>126893.04271363506</v>
      </c>
      <c r="M33">
        <f>Cal!M156/Divisor</f>
        <v>168458.52073686273</v>
      </c>
      <c r="N33">
        <f>Cal!N156/Divisor</f>
        <v>204504.84969343938</v>
      </c>
    </row>
    <row r="34" spans="4:14" ht="15.75" thickBot="1" x14ac:dyDescent="0.3">
      <c r="D34" s="12" t="s">
        <v>270</v>
      </c>
      <c r="E34" s="62" t="s">
        <v>250</v>
      </c>
      <c r="F34" s="12"/>
      <c r="G34" s="12"/>
      <c r="H34" s="12"/>
      <c r="I34" s="12"/>
      <c r="J34" s="12">
        <f>SUM(J32:J33)</f>
        <v>47939.360000000001</v>
      </c>
      <c r="K34" s="12">
        <f t="shared" ref="K34:N34" si="9">SUM(K32:K33)</f>
        <v>93565.17256320866</v>
      </c>
      <c r="L34" s="12">
        <f t="shared" si="9"/>
        <v>138893.04271363508</v>
      </c>
      <c r="M34" s="12">
        <f t="shared" si="9"/>
        <v>180458.52073686273</v>
      </c>
      <c r="N34" s="12">
        <f t="shared" si="9"/>
        <v>216504.84969343938</v>
      </c>
    </row>
    <row r="35" spans="4:14" ht="16.5" thickTop="1" thickBot="1" x14ac:dyDescent="0.3">
      <c r="D35" s="12" t="s">
        <v>271</v>
      </c>
      <c r="E35" s="62" t="s">
        <v>250</v>
      </c>
      <c r="F35" s="12"/>
      <c r="G35" s="12"/>
      <c r="H35" s="12"/>
      <c r="I35" s="12"/>
      <c r="J35" s="12">
        <f>J34+J30</f>
        <v>58293.838777160272</v>
      </c>
      <c r="K35" s="12">
        <f t="shared" ref="K35:N35" si="10">K34+K30</f>
        <v>100224.50606751433</v>
      </c>
      <c r="L35" s="12">
        <f t="shared" si="10"/>
        <v>145870.81970647874</v>
      </c>
      <c r="M35" s="12">
        <f t="shared" si="10"/>
        <v>190465.28342138458</v>
      </c>
      <c r="N35" s="12">
        <f t="shared" si="10"/>
        <v>230449.657387432</v>
      </c>
    </row>
    <row r="36" spans="4:14" ht="15" thickTop="1" x14ac:dyDescent="0.2"/>
    <row r="38" spans="4:14" ht="15" x14ac:dyDescent="0.25">
      <c r="D38" s="63" t="s">
        <v>272</v>
      </c>
      <c r="E38" s="63"/>
      <c r="F38" s="63"/>
      <c r="G38" s="63"/>
      <c r="H38" s="63"/>
      <c r="I38" s="63"/>
      <c r="J38" s="63"/>
      <c r="K38" s="63"/>
      <c r="L38" s="63"/>
      <c r="M38" s="63"/>
      <c r="N38" s="63"/>
    </row>
    <row r="39" spans="4:14" x14ac:dyDescent="0.2">
      <c r="J39">
        <f>J21-J35</f>
        <v>0</v>
      </c>
      <c r="K39">
        <f t="shared" ref="K39:N39" si="11">K21-K35</f>
        <v>0</v>
      </c>
      <c r="L39">
        <f t="shared" si="11"/>
        <v>0</v>
      </c>
      <c r="M39">
        <f t="shared" si="11"/>
        <v>0</v>
      </c>
      <c r="N39">
        <f t="shared" si="11"/>
        <v>0</v>
      </c>
    </row>
    <row r="40" spans="4:14" x14ac:dyDescent="0.2">
      <c r="J40" t="b">
        <f>J35=J21</f>
        <v>1</v>
      </c>
      <c r="K40" t="b">
        <f t="shared" ref="K40:N40" si="12">K35=K21</f>
        <v>1</v>
      </c>
      <c r="L40" t="b">
        <f t="shared" si="12"/>
        <v>1</v>
      </c>
      <c r="M40" t="b">
        <f t="shared" si="12"/>
        <v>1</v>
      </c>
      <c r="N40" t="b">
        <f t="shared" si="12"/>
        <v>1</v>
      </c>
    </row>
  </sheetData>
  <hyperlinks>
    <hyperlink ref="N2" location="'Model Guide'!A1" tooltip="Go to Model Guide Sheet" display="Menu" xr:uid="{52CBBA19-783D-4C57-A5BB-22862A0612E2}"/>
  </hyperlinks>
  <pageMargins left="0.70866141732283472" right="0.70866141732283472" top="0.74803149606299213" bottom="0.74803149606299213" header="0.31496062992125984" footer="0.31496062992125984"/>
  <pageSetup scale="75" fitToHeight="0" orientation="landscape" r:id="rId1"/>
  <headerFooter>
    <oddFooter>&amp;L&amp;D&amp;COluwatimilehin Fafiola&amp;R&amp;P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7FB7-FD04-4192-8BD6-BCCB73A7109F}">
  <sheetPr>
    <tabColor theme="0" tint="0.499984740745262"/>
    <pageSetUpPr fitToPage="1"/>
  </sheetPr>
  <dimension ref="A2:O25"/>
  <sheetViews>
    <sheetView showGridLines="0" tabSelected="1" workbookViewId="0">
      <pane xSplit="4" ySplit="8" topLeftCell="E9" activePane="bottomRight" state="frozen"/>
      <selection activeCell="J18" sqref="J18"/>
      <selection pane="topRight" activeCell="J18" sqref="J18"/>
      <selection pane="bottomLeft" activeCell="J18" sqref="J18"/>
      <selection pane="bottomRight" activeCell="J18" sqref="J18"/>
    </sheetView>
  </sheetViews>
  <sheetFormatPr defaultColWidth="0" defaultRowHeight="14.25" x14ac:dyDescent="0.2"/>
  <cols>
    <col min="1" max="3" width="3.375" customWidth="1"/>
    <col min="4" max="4" width="33.125" customWidth="1"/>
    <col min="5" max="5" width="9.75" customWidth="1"/>
    <col min="6" max="6" width="11.5" customWidth="1"/>
    <col min="7" max="8" width="9" customWidth="1"/>
    <col min="9" max="14" width="11" customWidth="1"/>
    <col min="15" max="15" width="9" customWidth="1"/>
    <col min="16" max="16384" width="9" hidden="1"/>
  </cols>
  <sheetData>
    <row r="2" spans="2:14" ht="38.25" x14ac:dyDescent="0.7">
      <c r="B2" s="15" t="str">
        <f>Company_Name</f>
        <v xml:space="preserve">Tage Corp 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25" t="s">
        <v>94</v>
      </c>
    </row>
    <row r="3" spans="2:14" ht="27.75" x14ac:dyDescent="0.5">
      <c r="B3" s="16"/>
      <c r="C3" s="16" t="str">
        <f>'Model Guide'!D29</f>
        <v>Analysis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14" x14ac:dyDescent="0.2">
      <c r="D4" t="s">
        <v>89</v>
      </c>
    </row>
    <row r="5" spans="2:14" ht="15" x14ac:dyDescent="0.25">
      <c r="D5" t="s">
        <v>92</v>
      </c>
      <c r="H5" s="24" t="s">
        <v>84</v>
      </c>
      <c r="I5" s="22"/>
      <c r="J5" s="23">
        <f>I6+Ctrl_1</f>
        <v>45658</v>
      </c>
      <c r="K5" s="23">
        <f>J6+Ctrl_1</f>
        <v>46023</v>
      </c>
      <c r="L5" s="23">
        <f>K6+Ctrl_1</f>
        <v>46388</v>
      </c>
      <c r="M5" s="23">
        <f>L6+Ctrl_1</f>
        <v>46753</v>
      </c>
      <c r="N5" s="23">
        <f>M6+Ctrl_1</f>
        <v>47119</v>
      </c>
    </row>
    <row r="6" spans="2:14" ht="15" x14ac:dyDescent="0.25">
      <c r="H6" s="24" t="s">
        <v>85</v>
      </c>
      <c r="I6" s="23">
        <f>EOMONTH(J6,- Ctrl_12)</f>
        <v>45657</v>
      </c>
      <c r="J6" s="23">
        <f>EOMONTH(K6,- Ctrl_12)</f>
        <v>46022</v>
      </c>
      <c r="K6" s="23">
        <f>EOMONTH(L6,- Ctrl_12)</f>
        <v>46387</v>
      </c>
      <c r="L6" s="23">
        <f>EOMONTH(M6,- Ctrl_12)</f>
        <v>46752</v>
      </c>
      <c r="M6" s="23">
        <f>EOMONTH(N6,- Ctrl_12)</f>
        <v>47118</v>
      </c>
      <c r="N6" s="23">
        <f>Model_Period_End</f>
        <v>47483</v>
      </c>
    </row>
    <row r="7" spans="2:14" ht="15" x14ac:dyDescent="0.25">
      <c r="H7" s="24" t="s">
        <v>86</v>
      </c>
      <c r="I7" s="21">
        <f>YEAR(I6)</f>
        <v>2024</v>
      </c>
      <c r="J7" s="21">
        <f t="shared" ref="J7:N7" si="0">YEAR(J6)</f>
        <v>2025</v>
      </c>
      <c r="K7" s="21">
        <f t="shared" si="0"/>
        <v>2026</v>
      </c>
      <c r="L7" s="21">
        <f t="shared" si="0"/>
        <v>2027</v>
      </c>
      <c r="M7" s="21">
        <f t="shared" si="0"/>
        <v>2028</v>
      </c>
      <c r="N7" s="21">
        <f t="shared" si="0"/>
        <v>2029</v>
      </c>
    </row>
    <row r="8" spans="2:14" ht="15" x14ac:dyDescent="0.25">
      <c r="D8" s="24" t="s">
        <v>91</v>
      </c>
      <c r="E8" s="24" t="s">
        <v>170</v>
      </c>
      <c r="F8" s="24" t="s">
        <v>209</v>
      </c>
      <c r="H8" s="24" t="s">
        <v>87</v>
      </c>
      <c r="I8" s="24" t="s">
        <v>90</v>
      </c>
      <c r="J8" s="24" t="s">
        <v>90</v>
      </c>
      <c r="K8" s="24" t="s">
        <v>90</v>
      </c>
      <c r="L8" s="24" t="s">
        <v>90</v>
      </c>
      <c r="M8" s="24" t="s">
        <v>90</v>
      </c>
      <c r="N8" s="24" t="s">
        <v>90</v>
      </c>
    </row>
    <row r="9" spans="2:14" x14ac:dyDescent="0.2">
      <c r="F9" t="s">
        <v>93</v>
      </c>
      <c r="I9">
        <f t="shared" ref="I9:N9" si="1">I7-$I$7</f>
        <v>0</v>
      </c>
      <c r="J9">
        <f t="shared" si="1"/>
        <v>1</v>
      </c>
      <c r="K9">
        <f t="shared" si="1"/>
        <v>2</v>
      </c>
      <c r="L9">
        <f t="shared" si="1"/>
        <v>3</v>
      </c>
      <c r="M9">
        <f t="shared" si="1"/>
        <v>4</v>
      </c>
      <c r="N9">
        <f t="shared" si="1"/>
        <v>5</v>
      </c>
    </row>
    <row r="10" spans="2:14" x14ac:dyDescent="0.2">
      <c r="F10">
        <v>2</v>
      </c>
      <c r="G10" t="s">
        <v>300</v>
      </c>
    </row>
    <row r="11" spans="2:14" x14ac:dyDescent="0.2">
      <c r="D11">
        <v>1</v>
      </c>
      <c r="E11" t="s">
        <v>297</v>
      </c>
    </row>
    <row r="12" spans="2:14" x14ac:dyDescent="0.2">
      <c r="D12">
        <v>2</v>
      </c>
      <c r="E12" t="s">
        <v>298</v>
      </c>
      <c r="G12" t="s">
        <v>301</v>
      </c>
    </row>
    <row r="13" spans="2:14" x14ac:dyDescent="0.2">
      <c r="D13">
        <v>3</v>
      </c>
      <c r="E13" t="s">
        <v>299</v>
      </c>
    </row>
    <row r="16" spans="2:14" ht="15" x14ac:dyDescent="0.25">
      <c r="E16" s="66" t="s">
        <v>117</v>
      </c>
      <c r="J16" s="45">
        <f>CHOOSE(switch,J17,J18,J19)</f>
        <v>0.30030000000000001</v>
      </c>
      <c r="K16" s="45">
        <f>CHOOSE(switch,K17,K18,K19)</f>
        <v>0.25030000000000002</v>
      </c>
      <c r="L16" s="45">
        <f>CHOOSE(switch,L17,L18,L19)</f>
        <v>0.2</v>
      </c>
      <c r="M16" s="45">
        <f>CHOOSE(switch,M17,M18,M19)</f>
        <v>0.1</v>
      </c>
      <c r="N16" s="45">
        <f>CHOOSE(switch,N17,N18,N19)</f>
        <v>0.1</v>
      </c>
    </row>
    <row r="17" spans="5:14" x14ac:dyDescent="0.2">
      <c r="E17" t="str">
        <f>E11</f>
        <v xml:space="preserve">Best Case </v>
      </c>
      <c r="J17" s="34">
        <v>0.2853</v>
      </c>
      <c r="K17" s="34">
        <v>0.23530000000000001</v>
      </c>
      <c r="L17" s="34">
        <v>0.185</v>
      </c>
      <c r="M17" s="34">
        <v>8.5000000000000006E-2</v>
      </c>
      <c r="N17" s="34">
        <v>8.5000000000000006E-2</v>
      </c>
    </row>
    <row r="18" spans="5:14" x14ac:dyDescent="0.2">
      <c r="E18" t="str">
        <f t="shared" ref="E18:E19" si="2">E12</f>
        <v>Base Case</v>
      </c>
      <c r="J18" s="34">
        <v>0.30030000000000001</v>
      </c>
      <c r="K18" s="34">
        <v>0.25030000000000002</v>
      </c>
      <c r="L18" s="34">
        <v>0.2</v>
      </c>
      <c r="M18" s="34">
        <v>0.1</v>
      </c>
      <c r="N18" s="34">
        <v>0.1</v>
      </c>
    </row>
    <row r="19" spans="5:14" x14ac:dyDescent="0.2">
      <c r="E19" t="str">
        <f t="shared" si="2"/>
        <v>Worst Case</v>
      </c>
      <c r="J19" s="34">
        <v>0.32030000000000003</v>
      </c>
      <c r="K19" s="34">
        <v>0.27030000000000004</v>
      </c>
      <c r="L19" s="34">
        <v>0.22</v>
      </c>
      <c r="M19" s="34">
        <v>0.12000000000000001</v>
      </c>
      <c r="N19" s="34">
        <v>0.12000000000000001</v>
      </c>
    </row>
    <row r="22" spans="5:14" ht="15" x14ac:dyDescent="0.25">
      <c r="E22" s="66" t="s">
        <v>155</v>
      </c>
      <c r="J22" s="45">
        <f>CHOOSE(switch,J23,J24,J25)</f>
        <v>7.1300000000000002E-2</v>
      </c>
      <c r="K22" s="45">
        <f>CHOOSE(switch,K23,K24,K25)</f>
        <v>7.1300000000000002E-2</v>
      </c>
      <c r="L22" s="45">
        <f>CHOOSE(switch,L23,L24,L25)</f>
        <v>7.1300000000000002E-2</v>
      </c>
      <c r="M22" s="45">
        <f>CHOOSE(switch,M23,M24,M25)</f>
        <v>7.1300000000000002E-2</v>
      </c>
      <c r="N22" s="45">
        <f>CHOOSE(switch,N23,N24,N25)</f>
        <v>7.1300000000000002E-2</v>
      </c>
    </row>
    <row r="23" spans="5:14" x14ac:dyDescent="0.2">
      <c r="E23" t="str">
        <f>E17</f>
        <v xml:space="preserve">Best Case </v>
      </c>
      <c r="J23" s="35">
        <v>9.6299999999999997E-2</v>
      </c>
      <c r="K23" s="35">
        <v>9.6299999999999997E-2</v>
      </c>
      <c r="L23" s="35">
        <v>9.6299999999999997E-2</v>
      </c>
      <c r="M23" s="35">
        <v>9.6299999999999997E-2</v>
      </c>
      <c r="N23" s="35">
        <v>9.6299999999999997E-2</v>
      </c>
    </row>
    <row r="24" spans="5:14" x14ac:dyDescent="0.2">
      <c r="E24" t="str">
        <f t="shared" ref="E24:E25" si="3">E18</f>
        <v>Base Case</v>
      </c>
      <c r="J24" s="34">
        <v>7.1300000000000002E-2</v>
      </c>
      <c r="K24" s="34">
        <v>7.1300000000000002E-2</v>
      </c>
      <c r="L24" s="34">
        <v>7.1300000000000002E-2</v>
      </c>
      <c r="M24" s="34">
        <v>7.1300000000000002E-2</v>
      </c>
      <c r="N24" s="34">
        <v>7.1300000000000002E-2</v>
      </c>
    </row>
    <row r="25" spans="5:14" x14ac:dyDescent="0.2">
      <c r="E25" t="str">
        <f t="shared" si="3"/>
        <v>Worst Case</v>
      </c>
      <c r="J25" s="35">
        <v>5.6300000000000003E-2</v>
      </c>
      <c r="K25" s="35">
        <v>5.6300000000000003E-2</v>
      </c>
      <c r="L25" s="35">
        <v>5.6300000000000003E-2</v>
      </c>
      <c r="M25" s="35">
        <v>5.6300000000000003E-2</v>
      </c>
      <c r="N25" s="35">
        <v>5.6300000000000003E-2</v>
      </c>
    </row>
  </sheetData>
  <hyperlinks>
    <hyperlink ref="N2" location="'Model Guide'!A1" tooltip="Go to Model Guide Sheet" display="Menu" xr:uid="{A8230F64-64F5-4BEE-9A92-FF8DEF758C4C}"/>
  </hyperlinks>
  <pageMargins left="0.70866141732283472" right="0.70866141732283472" top="0.74803149606299213" bottom="0.74803149606299213" header="0.31496062992125984" footer="0.31496062992125984"/>
  <pageSetup scale="75" fitToHeight="0" orientation="landscape" r:id="rId1"/>
  <headerFooter>
    <oddFooter>&amp;L&amp;D&amp;COluwatimilehin Fafiola&amp;R&amp;P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4</xdr:col>
                    <xdr:colOff>38100</xdr:colOff>
                    <xdr:row>8</xdr:row>
                    <xdr:rowOff>104775</xdr:rowOff>
                  </from>
                  <to>
                    <xdr:col>5</xdr:col>
                    <xdr:colOff>142875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A621-C03D-4B3B-A90B-7C66F14B5F93}">
  <sheetPr>
    <tabColor theme="0" tint="0.499984740745262"/>
    <pageSetUpPr fitToPage="1"/>
  </sheetPr>
  <dimension ref="A2:O9"/>
  <sheetViews>
    <sheetView showGridLines="0" workbookViewId="0">
      <pane xSplit="4" ySplit="8" topLeftCell="E9" activePane="bottomRight" state="frozen"/>
      <selection activeCell="J18" sqref="J18"/>
      <selection pane="topRight" activeCell="J18" sqref="J18"/>
      <selection pane="bottomLeft" activeCell="J18" sqref="J18"/>
      <selection pane="bottomRight" activeCell="J18" sqref="J18"/>
    </sheetView>
  </sheetViews>
  <sheetFormatPr defaultColWidth="0" defaultRowHeight="14.25" x14ac:dyDescent="0.2"/>
  <cols>
    <col min="1" max="3" width="3.375" customWidth="1"/>
    <col min="4" max="4" width="33.125" customWidth="1"/>
    <col min="5" max="5" width="9.75" customWidth="1"/>
    <col min="6" max="6" width="11.5" customWidth="1"/>
    <col min="7" max="8" width="9" customWidth="1"/>
    <col min="9" max="14" width="13.375" customWidth="1"/>
    <col min="15" max="15" width="9" customWidth="1"/>
    <col min="16" max="16384" width="9" hidden="1"/>
  </cols>
  <sheetData>
    <row r="2" spans="2:14" ht="38.25" x14ac:dyDescent="0.7">
      <c r="B2" s="15" t="str">
        <f>Company_Name</f>
        <v xml:space="preserve">Tage Corp 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25" t="s">
        <v>94</v>
      </c>
    </row>
    <row r="3" spans="2:14" ht="27.75" x14ac:dyDescent="0.5">
      <c r="B3" s="16"/>
      <c r="C3" s="16" t="str">
        <f>'Model Guide'!D29</f>
        <v>Analysis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14" x14ac:dyDescent="0.2">
      <c r="D4" t="s">
        <v>89</v>
      </c>
    </row>
    <row r="5" spans="2:14" ht="15" x14ac:dyDescent="0.25">
      <c r="D5" t="s">
        <v>92</v>
      </c>
      <c r="H5" s="24" t="s">
        <v>84</v>
      </c>
      <c r="I5" s="22"/>
      <c r="J5" s="23">
        <f>I6+Ctrl_1</f>
        <v>45658</v>
      </c>
      <c r="K5" s="23">
        <f>J6+Ctrl_1</f>
        <v>46023</v>
      </c>
      <c r="L5" s="23">
        <f>K6+Ctrl_1</f>
        <v>46388</v>
      </c>
      <c r="M5" s="23">
        <f>L6+Ctrl_1</f>
        <v>46753</v>
      </c>
      <c r="N5" s="23">
        <f>M6+Ctrl_1</f>
        <v>47119</v>
      </c>
    </row>
    <row r="6" spans="2:14" ht="15" x14ac:dyDescent="0.25">
      <c r="H6" s="24" t="s">
        <v>85</v>
      </c>
      <c r="I6" s="23">
        <f>EOMONTH(J6,- Ctrl_12)</f>
        <v>45657</v>
      </c>
      <c r="J6" s="23">
        <f>EOMONTH(K6,- Ctrl_12)</f>
        <v>46022</v>
      </c>
      <c r="K6" s="23">
        <f>EOMONTH(L6,- Ctrl_12)</f>
        <v>46387</v>
      </c>
      <c r="L6" s="23">
        <f>EOMONTH(M6,- Ctrl_12)</f>
        <v>46752</v>
      </c>
      <c r="M6" s="23">
        <f>EOMONTH(N6,- Ctrl_12)</f>
        <v>47118</v>
      </c>
      <c r="N6" s="23">
        <f>Model_Period_End</f>
        <v>47483</v>
      </c>
    </row>
    <row r="7" spans="2:14" ht="15" x14ac:dyDescent="0.25">
      <c r="H7" s="24" t="s">
        <v>86</v>
      </c>
      <c r="I7" s="21">
        <f>YEAR(I6)</f>
        <v>2024</v>
      </c>
      <c r="J7" s="21">
        <f t="shared" ref="J7:N7" si="0">YEAR(J6)</f>
        <v>2025</v>
      </c>
      <c r="K7" s="21">
        <f t="shared" si="0"/>
        <v>2026</v>
      </c>
      <c r="L7" s="21">
        <f t="shared" si="0"/>
        <v>2027</v>
      </c>
      <c r="M7" s="21">
        <f t="shared" si="0"/>
        <v>2028</v>
      </c>
      <c r="N7" s="21">
        <f t="shared" si="0"/>
        <v>2029</v>
      </c>
    </row>
    <row r="8" spans="2:14" ht="15" x14ac:dyDescent="0.25">
      <c r="D8" s="24" t="s">
        <v>91</v>
      </c>
      <c r="E8" s="24" t="s">
        <v>170</v>
      </c>
      <c r="F8" s="24" t="s">
        <v>209</v>
      </c>
      <c r="H8" s="24" t="s">
        <v>87</v>
      </c>
      <c r="I8" s="24" t="s">
        <v>90</v>
      </c>
      <c r="J8" s="24" t="s">
        <v>90</v>
      </c>
      <c r="K8" s="24" t="s">
        <v>90</v>
      </c>
      <c r="L8" s="24" t="s">
        <v>90</v>
      </c>
      <c r="M8" s="24" t="s">
        <v>90</v>
      </c>
      <c r="N8" s="24" t="s">
        <v>90</v>
      </c>
    </row>
    <row r="9" spans="2:14" x14ac:dyDescent="0.2">
      <c r="F9" t="s">
        <v>93</v>
      </c>
      <c r="I9">
        <f t="shared" ref="I9:N9" si="1">I7-$I$7</f>
        <v>0</v>
      </c>
      <c r="J9">
        <f t="shared" si="1"/>
        <v>1</v>
      </c>
      <c r="K9">
        <f t="shared" si="1"/>
        <v>2</v>
      </c>
      <c r="L9">
        <f t="shared" si="1"/>
        <v>3</v>
      </c>
      <c r="M9">
        <f t="shared" si="1"/>
        <v>4</v>
      </c>
      <c r="N9">
        <f t="shared" si="1"/>
        <v>5</v>
      </c>
    </row>
  </sheetData>
  <hyperlinks>
    <hyperlink ref="N2" location="'Model Guide'!A1" tooltip="Go to Model Guide Sheet" display="Menu" xr:uid="{982B1A20-EC18-4F6C-A8AE-2310BA660892}"/>
  </hyperlinks>
  <pageMargins left="0.70866141732283472" right="0.70866141732283472" top="0.74803149606299213" bottom="0.74803149606299213" header="0.31496062992125984" footer="0.31496062992125984"/>
  <pageSetup scale="69" fitToHeight="0" orientation="landscape" r:id="rId1"/>
  <headerFooter>
    <oddFooter>&amp;L&amp;D&amp;COluwatimilehin Fafiola&amp;R&amp;P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5E5C-8B86-4A43-A6E0-88B1ECDB91E1}">
  <sheetPr>
    <tabColor theme="2" tint="0.39997558519241921"/>
    <pageSetUpPr fitToPage="1"/>
  </sheetPr>
  <dimension ref="A2:O9"/>
  <sheetViews>
    <sheetView showGridLines="0" workbookViewId="0">
      <pane xSplit="4" ySplit="8" topLeftCell="E9" activePane="bottomRight" state="frozen"/>
      <selection activeCell="J18" sqref="J18"/>
      <selection pane="topRight" activeCell="J18" sqref="J18"/>
      <selection pane="bottomLeft" activeCell="J18" sqref="J18"/>
      <selection pane="bottomRight" activeCell="J18" sqref="J18"/>
    </sheetView>
  </sheetViews>
  <sheetFormatPr defaultColWidth="0" defaultRowHeight="14.25" x14ac:dyDescent="0.2"/>
  <cols>
    <col min="1" max="3" width="3.375" customWidth="1"/>
    <col min="4" max="4" width="33.125" customWidth="1"/>
    <col min="5" max="5" width="9.75" customWidth="1"/>
    <col min="6" max="6" width="10.625" customWidth="1"/>
    <col min="7" max="8" width="9" customWidth="1"/>
    <col min="9" max="14" width="13.375" customWidth="1"/>
    <col min="15" max="15" width="9" customWidth="1"/>
    <col min="16" max="16384" width="9" hidden="1"/>
  </cols>
  <sheetData>
    <row r="2" spans="2:14" ht="38.25" x14ac:dyDescent="0.7">
      <c r="B2" s="15" t="str">
        <f>Company_Name</f>
        <v xml:space="preserve">Tage Corp 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25" t="s">
        <v>94</v>
      </c>
    </row>
    <row r="3" spans="2:14" ht="27.75" x14ac:dyDescent="0.5">
      <c r="B3" s="16"/>
      <c r="C3" s="16" t="str">
        <f>'Model Guide'!D30</f>
        <v>Valuation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14" x14ac:dyDescent="0.2">
      <c r="D4" t="s">
        <v>89</v>
      </c>
    </row>
    <row r="5" spans="2:14" ht="15" x14ac:dyDescent="0.25">
      <c r="D5" t="s">
        <v>92</v>
      </c>
      <c r="H5" s="24" t="s">
        <v>84</v>
      </c>
      <c r="I5" s="22"/>
      <c r="J5" s="23">
        <f>I6+Ctrl_1</f>
        <v>45658</v>
      </c>
      <c r="K5" s="23">
        <f>J6+Ctrl_1</f>
        <v>46023</v>
      </c>
      <c r="L5" s="23">
        <f>K6+Ctrl_1</f>
        <v>46388</v>
      </c>
      <c r="M5" s="23">
        <f>L6+Ctrl_1</f>
        <v>46753</v>
      </c>
      <c r="N5" s="23">
        <f>M6+Ctrl_1</f>
        <v>47119</v>
      </c>
    </row>
    <row r="6" spans="2:14" ht="15" x14ac:dyDescent="0.25">
      <c r="H6" s="24" t="s">
        <v>85</v>
      </c>
      <c r="I6" s="23">
        <f>EOMONTH(J6,- Ctrl_12)</f>
        <v>45657</v>
      </c>
      <c r="J6" s="23">
        <f>EOMONTH(K6,- Ctrl_12)</f>
        <v>46022</v>
      </c>
      <c r="K6" s="23">
        <f>EOMONTH(L6,- Ctrl_12)</f>
        <v>46387</v>
      </c>
      <c r="L6" s="23">
        <f>EOMONTH(M6,- Ctrl_12)</f>
        <v>46752</v>
      </c>
      <c r="M6" s="23">
        <f>EOMONTH(N6,- Ctrl_12)</f>
        <v>47118</v>
      </c>
      <c r="N6" s="23">
        <f>Model_Period_End</f>
        <v>47483</v>
      </c>
    </row>
    <row r="7" spans="2:14" ht="15" x14ac:dyDescent="0.25">
      <c r="H7" s="24" t="s">
        <v>86</v>
      </c>
      <c r="I7" s="21">
        <f>YEAR(I6)</f>
        <v>2024</v>
      </c>
      <c r="J7" s="21">
        <f t="shared" ref="J7:N7" si="0">YEAR(J6)</f>
        <v>2025</v>
      </c>
      <c r="K7" s="21">
        <f t="shared" si="0"/>
        <v>2026</v>
      </c>
      <c r="L7" s="21">
        <f t="shared" si="0"/>
        <v>2027</v>
      </c>
      <c r="M7" s="21">
        <f t="shared" si="0"/>
        <v>2028</v>
      </c>
      <c r="N7" s="21">
        <f t="shared" si="0"/>
        <v>2029</v>
      </c>
    </row>
    <row r="8" spans="2:14" ht="15" x14ac:dyDescent="0.25">
      <c r="D8" s="24" t="s">
        <v>91</v>
      </c>
      <c r="E8" s="24" t="s">
        <v>170</v>
      </c>
      <c r="F8" s="24" t="s">
        <v>209</v>
      </c>
      <c r="H8" s="24" t="s">
        <v>87</v>
      </c>
      <c r="I8" s="24" t="s">
        <v>90</v>
      </c>
      <c r="J8" s="24" t="s">
        <v>90</v>
      </c>
      <c r="K8" s="24" t="s">
        <v>90</v>
      </c>
      <c r="L8" s="24" t="s">
        <v>90</v>
      </c>
      <c r="M8" s="24" t="s">
        <v>90</v>
      </c>
      <c r="N8" s="24" t="s">
        <v>90</v>
      </c>
    </row>
    <row r="9" spans="2:14" x14ac:dyDescent="0.2">
      <c r="F9" t="s">
        <v>93</v>
      </c>
      <c r="I9">
        <f t="shared" ref="I9:N9" si="1">I7-$I$7</f>
        <v>0</v>
      </c>
      <c r="J9">
        <f t="shared" si="1"/>
        <v>1</v>
      </c>
      <c r="K9">
        <f t="shared" si="1"/>
        <v>2</v>
      </c>
      <c r="L9">
        <f t="shared" si="1"/>
        <v>3</v>
      </c>
      <c r="M9">
        <f t="shared" si="1"/>
        <v>4</v>
      </c>
      <c r="N9">
        <f t="shared" si="1"/>
        <v>5</v>
      </c>
    </row>
  </sheetData>
  <hyperlinks>
    <hyperlink ref="N2" location="'Model Guide'!A1" tooltip="Go to Model Guide Sheet" display="Menu" xr:uid="{FBB601F4-40AE-4E60-9EBA-38358814E418}"/>
  </hyperlinks>
  <pageMargins left="0.70866141732283472" right="0.70866141732283472" top="0.74803149606299213" bottom="0.74803149606299213" header="0.31496062992125984" footer="0.31496062992125984"/>
  <pageSetup scale="69" fitToHeight="0" orientation="landscape" r:id="rId1"/>
  <headerFooter>
    <oddFooter>&amp;L&amp;D&amp;COluwatimilehin Fafiola&amp;R&amp;P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F2D3-B51C-4465-AD79-F5F72A1F7481}">
  <sheetPr>
    <pageSetUpPr fitToPage="1"/>
  </sheetPr>
  <dimension ref="A2:O9"/>
  <sheetViews>
    <sheetView showGridLines="0" workbookViewId="0">
      <pane xSplit="5" ySplit="8" topLeftCell="F9" activePane="bottomRight" state="frozen"/>
      <selection activeCell="J18" sqref="J18"/>
      <selection pane="topRight" activeCell="J18" sqref="J18"/>
      <selection pane="bottomLeft" activeCell="J18" sqref="J18"/>
      <selection pane="bottomRight" activeCell="J18" sqref="J18"/>
    </sheetView>
  </sheetViews>
  <sheetFormatPr defaultColWidth="0" defaultRowHeight="14.25" x14ac:dyDescent="0.2"/>
  <cols>
    <col min="1" max="3" width="3.375" customWidth="1"/>
    <col min="4" max="4" width="33.125" customWidth="1"/>
    <col min="5" max="5" width="9.75" customWidth="1"/>
    <col min="6" max="8" width="9" customWidth="1"/>
    <col min="9" max="14" width="13.375" customWidth="1"/>
    <col min="15" max="15" width="9" customWidth="1"/>
    <col min="16" max="16384" width="9" hidden="1"/>
  </cols>
  <sheetData>
    <row r="2" spans="2:14" ht="38.25" x14ac:dyDescent="0.7">
      <c r="B2" s="15" t="str">
        <f>Company_Name</f>
        <v xml:space="preserve">Tage Corp 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25" t="s">
        <v>94</v>
      </c>
    </row>
    <row r="3" spans="2:14" ht="27.75" x14ac:dyDescent="0.5">
      <c r="B3" s="16"/>
      <c r="C3" s="16" t="s">
        <v>88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14" x14ac:dyDescent="0.2">
      <c r="D4" t="s">
        <v>89</v>
      </c>
    </row>
    <row r="5" spans="2:14" ht="15" x14ac:dyDescent="0.25">
      <c r="D5" t="s">
        <v>92</v>
      </c>
      <c r="H5" s="24" t="s">
        <v>84</v>
      </c>
      <c r="I5" s="22"/>
      <c r="J5" s="23">
        <f>I6+Ctrl_1</f>
        <v>45658</v>
      </c>
      <c r="K5" s="23">
        <f>J6+Ctrl_1</f>
        <v>46023</v>
      </c>
      <c r="L5" s="23">
        <f>K6+Ctrl_1</f>
        <v>46388</v>
      </c>
      <c r="M5" s="23">
        <f>L6+Ctrl_1</f>
        <v>46753</v>
      </c>
      <c r="N5" s="23">
        <f>M6+Ctrl_1</f>
        <v>47119</v>
      </c>
    </row>
    <row r="6" spans="2:14" ht="15" x14ac:dyDescent="0.25">
      <c r="H6" s="24" t="s">
        <v>85</v>
      </c>
      <c r="I6" s="23">
        <f>EOMONTH(J6,- Ctrl_12)</f>
        <v>45657</v>
      </c>
      <c r="J6" s="23">
        <f>EOMONTH(K6,- Ctrl_12)</f>
        <v>46022</v>
      </c>
      <c r="K6" s="23">
        <f>EOMONTH(L6,- Ctrl_12)</f>
        <v>46387</v>
      </c>
      <c r="L6" s="23">
        <f>EOMONTH(M6,- Ctrl_12)</f>
        <v>46752</v>
      </c>
      <c r="M6" s="23">
        <f>EOMONTH(N6,- Ctrl_12)</f>
        <v>47118</v>
      </c>
      <c r="N6" s="23">
        <f>Model_Period_End</f>
        <v>47483</v>
      </c>
    </row>
    <row r="7" spans="2:14" ht="15" x14ac:dyDescent="0.25">
      <c r="H7" s="24" t="s">
        <v>86</v>
      </c>
      <c r="I7" s="21">
        <f>YEAR(I6)</f>
        <v>2024</v>
      </c>
      <c r="J7" s="21">
        <f t="shared" ref="J7:N7" si="0">YEAR(J6)</f>
        <v>2025</v>
      </c>
      <c r="K7" s="21">
        <f t="shared" si="0"/>
        <v>2026</v>
      </c>
      <c r="L7" s="21">
        <f t="shared" si="0"/>
        <v>2027</v>
      </c>
      <c r="M7" s="21">
        <f t="shared" si="0"/>
        <v>2028</v>
      </c>
      <c r="N7" s="21">
        <f t="shared" si="0"/>
        <v>2029</v>
      </c>
    </row>
    <row r="8" spans="2:14" ht="15" x14ac:dyDescent="0.25">
      <c r="D8" s="24" t="s">
        <v>91</v>
      </c>
      <c r="F8" t="s">
        <v>93</v>
      </c>
      <c r="H8" s="24" t="s">
        <v>87</v>
      </c>
      <c r="I8" s="24" t="s">
        <v>90</v>
      </c>
      <c r="J8" s="24" t="s">
        <v>90</v>
      </c>
      <c r="K8" s="24" t="s">
        <v>90</v>
      </c>
      <c r="L8" s="24" t="s">
        <v>90</v>
      </c>
      <c r="M8" s="24" t="s">
        <v>90</v>
      </c>
      <c r="N8" s="24" t="s">
        <v>90</v>
      </c>
    </row>
    <row r="9" spans="2:14" x14ac:dyDescent="0.2">
      <c r="F9" t="s">
        <v>93</v>
      </c>
      <c r="I9">
        <f t="shared" ref="I9:N9" si="1">I7-$I$7</f>
        <v>0</v>
      </c>
      <c r="J9">
        <f t="shared" si="1"/>
        <v>1</v>
      </c>
      <c r="K9">
        <f t="shared" si="1"/>
        <v>2</v>
      </c>
      <c r="L9">
        <f t="shared" si="1"/>
        <v>3</v>
      </c>
      <c r="M9">
        <f t="shared" si="1"/>
        <v>4</v>
      </c>
      <c r="N9">
        <f t="shared" si="1"/>
        <v>5</v>
      </c>
    </row>
  </sheetData>
  <hyperlinks>
    <hyperlink ref="N2" location="'Model Guide'!A1" tooltip="Go to Model Guide Sheet" display="Menu" xr:uid="{3E6FEC2B-7A6A-4864-B18E-0D3B25E9701D}"/>
  </hyperlinks>
  <pageMargins left="0.70866141732283472" right="0.70866141732283472" top="0.74803149606299213" bottom="0.74803149606299213" header="0.31496062992125984" footer="0.31496062992125984"/>
  <pageSetup scale="70" fitToHeight="0" orientation="landscape" r:id="rId1"/>
  <headerFooter>
    <oddFooter>&amp;L&amp;D&amp;COluwatimilehin Fafiola&amp;R&amp;P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35</vt:i4>
      </vt:variant>
    </vt:vector>
  </HeadingPairs>
  <TitlesOfParts>
    <vt:vector size="47" baseType="lpstr">
      <vt:lpstr>Logo</vt:lpstr>
      <vt:lpstr>Cover Page</vt:lpstr>
      <vt:lpstr>Model Guide</vt:lpstr>
      <vt:lpstr>Input</vt:lpstr>
      <vt:lpstr>Cal</vt:lpstr>
      <vt:lpstr>IS</vt:lpstr>
      <vt:lpstr>CF</vt:lpstr>
      <vt:lpstr>BS</vt:lpstr>
      <vt:lpstr>Scenerio</vt:lpstr>
      <vt:lpstr>Analysis</vt:lpstr>
      <vt:lpstr>Valuation</vt:lpstr>
      <vt:lpstr>Temp</vt:lpstr>
      <vt:lpstr>Business_Location</vt:lpstr>
      <vt:lpstr>Company_Name</vt:lpstr>
      <vt:lpstr>coy_name</vt:lpstr>
      <vt:lpstr>Ctrl_1</vt:lpstr>
      <vt:lpstr>Ctrl_10</vt:lpstr>
      <vt:lpstr>Ctrl_11</vt:lpstr>
      <vt:lpstr>Ctrl_12</vt:lpstr>
      <vt:lpstr>Ctrl_2</vt:lpstr>
      <vt:lpstr>Ctrl_3</vt:lpstr>
      <vt:lpstr>Ctrl_4</vt:lpstr>
      <vt:lpstr>Ctrl_5</vt:lpstr>
      <vt:lpstr>Ctrl_6</vt:lpstr>
      <vt:lpstr>Ctrl_7</vt:lpstr>
      <vt:lpstr>Ctrl_8</vt:lpstr>
      <vt:lpstr>Ctrl_9</vt:lpstr>
      <vt:lpstr>Days_in_a_Year</vt:lpstr>
      <vt:lpstr>Divisor</vt:lpstr>
      <vt:lpstr>Industry</vt:lpstr>
      <vt:lpstr>List</vt:lpstr>
      <vt:lpstr>Model_Forecasting_Period</vt:lpstr>
      <vt:lpstr>Model_Period_End</vt:lpstr>
      <vt:lpstr>Model_Period_Start</vt:lpstr>
      <vt:lpstr>Months_in_a_period</vt:lpstr>
      <vt:lpstr>Analysis!Print_Titles</vt:lpstr>
      <vt:lpstr>BS!Print_Titles</vt:lpstr>
      <vt:lpstr>Cal!Print_Titles</vt:lpstr>
      <vt:lpstr>CF!Print_Titles</vt:lpstr>
      <vt:lpstr>Input!Print_Titles</vt:lpstr>
      <vt:lpstr>IS!Print_Titles</vt:lpstr>
      <vt:lpstr>'Model Guide'!Print_Titles</vt:lpstr>
      <vt:lpstr>Scenerio!Print_Titles</vt:lpstr>
      <vt:lpstr>Temp!Print_Titles</vt:lpstr>
      <vt:lpstr>Valuation!Print_Titles</vt:lpstr>
      <vt:lpstr>Purpose_of_the_Model</vt:lpstr>
      <vt:lpstr>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Oluwatimilehin Fafiola</cp:lastModifiedBy>
  <cp:lastPrinted>2025-11-18T17:25:51Z</cp:lastPrinted>
  <dcterms:created xsi:type="dcterms:W3CDTF">2025-09-14T14:21:47Z</dcterms:created>
  <dcterms:modified xsi:type="dcterms:W3CDTF">2025-11-18T17:48:28Z</dcterms:modified>
</cp:coreProperties>
</file>